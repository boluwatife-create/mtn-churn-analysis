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6215" windowHeight="82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Sheet1!$S$1:$S$976</definedName>
  </definedNames>
  <calcPr calcId="124519"/>
</workbook>
</file>

<file path=xl/calcChain.xml><?xml version="1.0" encoding="utf-8"?>
<calcChain xmlns="http://schemas.openxmlformats.org/spreadsheetml/2006/main">
  <c r="U975" i="1"/>
  <c r="T975"/>
  <c r="F975"/>
  <c r="D975"/>
  <c r="U974"/>
  <c r="T974"/>
  <c r="F974"/>
  <c r="D974"/>
  <c r="U973"/>
  <c r="T973"/>
  <c r="F973"/>
  <c r="D973"/>
  <c r="U972"/>
  <c r="T972"/>
  <c r="F972"/>
  <c r="D972"/>
  <c r="U971"/>
  <c r="T971"/>
  <c r="F971"/>
  <c r="D971"/>
  <c r="U970"/>
  <c r="T970"/>
  <c r="F970"/>
  <c r="D970"/>
  <c r="U969"/>
  <c r="T969"/>
  <c r="F969"/>
  <c r="D969"/>
  <c r="U968"/>
  <c r="T968"/>
  <c r="F968"/>
  <c r="D968"/>
  <c r="U967"/>
  <c r="T967"/>
  <c r="F967"/>
  <c r="D967"/>
  <c r="U966"/>
  <c r="T966"/>
  <c r="F966"/>
  <c r="D966"/>
  <c r="U965"/>
  <c r="T965"/>
  <c r="F965"/>
  <c r="D965"/>
  <c r="U964"/>
  <c r="T964"/>
  <c r="F964"/>
  <c r="D964"/>
  <c r="U963"/>
  <c r="T963"/>
  <c r="F963"/>
  <c r="D963"/>
  <c r="U962"/>
  <c r="T962"/>
  <c r="F962"/>
  <c r="D962"/>
  <c r="U961"/>
  <c r="T961"/>
  <c r="F961"/>
  <c r="D961"/>
  <c r="U960"/>
  <c r="T960"/>
  <c r="F960"/>
  <c r="D960"/>
  <c r="U959"/>
  <c r="T959"/>
  <c r="F959"/>
  <c r="D959"/>
  <c r="U958"/>
  <c r="T958"/>
  <c r="F958"/>
  <c r="D958"/>
  <c r="U957"/>
  <c r="T957"/>
  <c r="F957"/>
  <c r="D957"/>
  <c r="U956"/>
  <c r="T956"/>
  <c r="F956"/>
  <c r="D956"/>
  <c r="U955"/>
  <c r="T955"/>
  <c r="F955"/>
  <c r="D955"/>
  <c r="U954"/>
  <c r="T954"/>
  <c r="F954"/>
  <c r="D954"/>
  <c r="U953"/>
  <c r="T953"/>
  <c r="F953"/>
  <c r="D953"/>
  <c r="U952"/>
  <c r="T952"/>
  <c r="F952"/>
  <c r="D952"/>
  <c r="U951"/>
  <c r="T951"/>
  <c r="F951"/>
  <c r="D951"/>
  <c r="U950"/>
  <c r="T950"/>
  <c r="F950"/>
  <c r="D950"/>
  <c r="U949"/>
  <c r="T949"/>
  <c r="F949"/>
  <c r="D949"/>
  <c r="U948"/>
  <c r="T948"/>
  <c r="F948"/>
  <c r="D948"/>
  <c r="U947"/>
  <c r="T947"/>
  <c r="F947"/>
  <c r="D947"/>
  <c r="U946"/>
  <c r="T946"/>
  <c r="F946"/>
  <c r="D946"/>
  <c r="U945"/>
  <c r="T945"/>
  <c r="F945"/>
  <c r="D945"/>
  <c r="U944"/>
  <c r="T944"/>
  <c r="F944"/>
  <c r="D944"/>
  <c r="U943"/>
  <c r="T943"/>
  <c r="F943"/>
  <c r="D943"/>
  <c r="U942"/>
  <c r="T942"/>
  <c r="F942"/>
  <c r="D942"/>
  <c r="U941"/>
  <c r="T941"/>
  <c r="F941"/>
  <c r="D941"/>
  <c r="U940"/>
  <c r="T940"/>
  <c r="F940"/>
  <c r="D940"/>
  <c r="U939"/>
  <c r="T939"/>
  <c r="F939"/>
  <c r="D939"/>
  <c r="U938"/>
  <c r="T938"/>
  <c r="F938"/>
  <c r="D938"/>
  <c r="U937"/>
  <c r="T937"/>
  <c r="F937"/>
  <c r="D937"/>
  <c r="U936"/>
  <c r="T936"/>
  <c r="F936"/>
  <c r="D936"/>
  <c r="U935"/>
  <c r="T935"/>
  <c r="F935"/>
  <c r="D935"/>
  <c r="U934"/>
  <c r="T934"/>
  <c r="F934"/>
  <c r="D934"/>
  <c r="U933"/>
  <c r="T933"/>
  <c r="F933"/>
  <c r="D933"/>
  <c r="U932"/>
  <c r="T932"/>
  <c r="F932"/>
  <c r="D932"/>
  <c r="U931"/>
  <c r="T931"/>
  <c r="F931"/>
  <c r="D931"/>
  <c r="U930"/>
  <c r="T930"/>
  <c r="F930"/>
  <c r="D930"/>
  <c r="U929"/>
  <c r="T929"/>
  <c r="F929"/>
  <c r="D929"/>
  <c r="U928"/>
  <c r="T928"/>
  <c r="F928"/>
  <c r="D928"/>
  <c r="U927"/>
  <c r="T927"/>
  <c r="F927"/>
  <c r="D927"/>
  <c r="U926"/>
  <c r="T926"/>
  <c r="F926"/>
  <c r="D926"/>
  <c r="U925"/>
  <c r="T925"/>
  <c r="F925"/>
  <c r="D925"/>
  <c r="U924"/>
  <c r="T924"/>
  <c r="F924"/>
  <c r="D924"/>
  <c r="U923"/>
  <c r="T923"/>
  <c r="F923"/>
  <c r="D923"/>
  <c r="U922"/>
  <c r="T922"/>
  <c r="F922"/>
  <c r="D922"/>
  <c r="U921"/>
  <c r="T921"/>
  <c r="F921"/>
  <c r="D921"/>
  <c r="U920"/>
  <c r="T920"/>
  <c r="F920"/>
  <c r="D920"/>
  <c r="U919"/>
  <c r="T919"/>
  <c r="F919"/>
  <c r="D919"/>
  <c r="U918"/>
  <c r="T918"/>
  <c r="F918"/>
  <c r="D918"/>
  <c r="U917"/>
  <c r="T917"/>
  <c r="F917"/>
  <c r="D917"/>
  <c r="U916"/>
  <c r="T916"/>
  <c r="F916"/>
  <c r="D916"/>
  <c r="U915"/>
  <c r="T915"/>
  <c r="F915"/>
  <c r="D915"/>
  <c r="U914"/>
  <c r="T914"/>
  <c r="F914"/>
  <c r="D914"/>
  <c r="U913"/>
  <c r="T913"/>
  <c r="F913"/>
  <c r="D913"/>
  <c r="U912"/>
  <c r="T912"/>
  <c r="F912"/>
  <c r="D912"/>
  <c r="U911"/>
  <c r="T911"/>
  <c r="F911"/>
  <c r="D911"/>
  <c r="U910"/>
  <c r="T910"/>
  <c r="F910"/>
  <c r="D910"/>
  <c r="U909"/>
  <c r="T909"/>
  <c r="F909"/>
  <c r="D909"/>
  <c r="U908"/>
  <c r="T908"/>
  <c r="F908"/>
  <c r="D908"/>
  <c r="U907"/>
  <c r="T907"/>
  <c r="F907"/>
  <c r="D907"/>
  <c r="U906"/>
  <c r="T906"/>
  <c r="F906"/>
  <c r="D906"/>
  <c r="U905"/>
  <c r="T905"/>
  <c r="F905"/>
  <c r="D905"/>
  <c r="U904"/>
  <c r="T904"/>
  <c r="F904"/>
  <c r="D904"/>
  <c r="U903"/>
  <c r="T903"/>
  <c r="F903"/>
  <c r="D903"/>
  <c r="U902"/>
  <c r="T902"/>
  <c r="F902"/>
  <c r="D902"/>
  <c r="U901"/>
  <c r="T901"/>
  <c r="F901"/>
  <c r="D901"/>
  <c r="U900"/>
  <c r="T900"/>
  <c r="F900"/>
  <c r="D900"/>
  <c r="U899"/>
  <c r="T899"/>
  <c r="F899"/>
  <c r="D899"/>
  <c r="U898"/>
  <c r="T898"/>
  <c r="F898"/>
  <c r="D898"/>
  <c r="U897"/>
  <c r="T897"/>
  <c r="F897"/>
  <c r="D897"/>
  <c r="U896"/>
  <c r="T896"/>
  <c r="F896"/>
  <c r="D896"/>
  <c r="U895"/>
  <c r="T895"/>
  <c r="F895"/>
  <c r="D895"/>
  <c r="U894"/>
  <c r="T894"/>
  <c r="F894"/>
  <c r="D894"/>
  <c r="U893"/>
  <c r="T893"/>
  <c r="F893"/>
  <c r="D893"/>
  <c r="U892"/>
  <c r="T892"/>
  <c r="F892"/>
  <c r="D892"/>
  <c r="U891"/>
  <c r="T891"/>
  <c r="F891"/>
  <c r="D891"/>
  <c r="U890"/>
  <c r="T890"/>
  <c r="F890"/>
  <c r="D890"/>
  <c r="U889"/>
  <c r="T889"/>
  <c r="F889"/>
  <c r="D889"/>
  <c r="U888"/>
  <c r="T888"/>
  <c r="F888"/>
  <c r="D888"/>
  <c r="U887"/>
  <c r="T887"/>
  <c r="F887"/>
  <c r="D887"/>
  <c r="U886"/>
  <c r="T886"/>
  <c r="F886"/>
  <c r="D886"/>
  <c r="U885"/>
  <c r="T885"/>
  <c r="F885"/>
  <c r="D885"/>
  <c r="U884"/>
  <c r="T884"/>
  <c r="F884"/>
  <c r="D884"/>
  <c r="U883"/>
  <c r="T883"/>
  <c r="F883"/>
  <c r="D883"/>
  <c r="U882"/>
  <c r="T882"/>
  <c r="F882"/>
  <c r="D882"/>
  <c r="U881"/>
  <c r="T881"/>
  <c r="F881"/>
  <c r="D881"/>
  <c r="U880"/>
  <c r="T880"/>
  <c r="F880"/>
  <c r="D880"/>
  <c r="U879"/>
  <c r="T879"/>
  <c r="F879"/>
  <c r="D879"/>
  <c r="U878"/>
  <c r="T878"/>
  <c r="F878"/>
  <c r="D878"/>
  <c r="U877"/>
  <c r="T877"/>
  <c r="F877"/>
  <c r="D877"/>
  <c r="U876"/>
  <c r="T876"/>
  <c r="F876"/>
  <c r="D876"/>
  <c r="U875"/>
  <c r="T875"/>
  <c r="F875"/>
  <c r="D875"/>
  <c r="U874"/>
  <c r="T874"/>
  <c r="F874"/>
  <c r="D874"/>
  <c r="U873"/>
  <c r="T873"/>
  <c r="F873"/>
  <c r="D873"/>
  <c r="U872"/>
  <c r="T872"/>
  <c r="F872"/>
  <c r="D872"/>
  <c r="U871"/>
  <c r="T871"/>
  <c r="F871"/>
  <c r="D871"/>
  <c r="U870"/>
  <c r="T870"/>
  <c r="F870"/>
  <c r="D870"/>
  <c r="U869"/>
  <c r="T869"/>
  <c r="F869"/>
  <c r="D869"/>
  <c r="U868"/>
  <c r="T868"/>
  <c r="F868"/>
  <c r="D868"/>
  <c r="U867"/>
  <c r="T867"/>
  <c r="F867"/>
  <c r="D867"/>
  <c r="U866"/>
  <c r="T866"/>
  <c r="F866"/>
  <c r="D866"/>
  <c r="U865"/>
  <c r="T865"/>
  <c r="F865"/>
  <c r="D865"/>
  <c r="U864"/>
  <c r="T864"/>
  <c r="F864"/>
  <c r="D864"/>
  <c r="U863"/>
  <c r="T863"/>
  <c r="F863"/>
  <c r="D863"/>
  <c r="U862"/>
  <c r="T862"/>
  <c r="F862"/>
  <c r="D862"/>
  <c r="U861"/>
  <c r="T861"/>
  <c r="F861"/>
  <c r="D861"/>
  <c r="U860"/>
  <c r="T860"/>
  <c r="F860"/>
  <c r="D860"/>
  <c r="U859"/>
  <c r="T859"/>
  <c r="F859"/>
  <c r="D859"/>
  <c r="U858"/>
  <c r="T858"/>
  <c r="F858"/>
  <c r="D858"/>
  <c r="U857"/>
  <c r="T857"/>
  <c r="F857"/>
  <c r="D857"/>
  <c r="U856"/>
  <c r="T856"/>
  <c r="F856"/>
  <c r="D856"/>
  <c r="U855"/>
  <c r="T855"/>
  <c r="F855"/>
  <c r="D855"/>
  <c r="U854"/>
  <c r="T854"/>
  <c r="F854"/>
  <c r="D854"/>
  <c r="U853"/>
  <c r="T853"/>
  <c r="F853"/>
  <c r="D853"/>
  <c r="U852"/>
  <c r="T852"/>
  <c r="F852"/>
  <c r="D852"/>
  <c r="U851"/>
  <c r="T851"/>
  <c r="F851"/>
  <c r="D851"/>
  <c r="U850"/>
  <c r="T850"/>
  <c r="F850"/>
  <c r="D850"/>
  <c r="U849"/>
  <c r="T849"/>
  <c r="F849"/>
  <c r="D849"/>
  <c r="U848"/>
  <c r="T848"/>
  <c r="F848"/>
  <c r="D848"/>
  <c r="U847"/>
  <c r="T847"/>
  <c r="F847"/>
  <c r="D847"/>
  <c r="U846"/>
  <c r="T846"/>
  <c r="F846"/>
  <c r="D846"/>
  <c r="U845"/>
  <c r="T845"/>
  <c r="F845"/>
  <c r="D845"/>
  <c r="U844"/>
  <c r="T844"/>
  <c r="F844"/>
  <c r="D844"/>
  <c r="U843"/>
  <c r="T843"/>
  <c r="F843"/>
  <c r="D843"/>
  <c r="U842"/>
  <c r="T842"/>
  <c r="F842"/>
  <c r="D842"/>
  <c r="U841"/>
  <c r="T841"/>
  <c r="F841"/>
  <c r="D841"/>
  <c r="U840"/>
  <c r="T840"/>
  <c r="F840"/>
  <c r="D840"/>
  <c r="U839"/>
  <c r="T839"/>
  <c r="F839"/>
  <c r="D839"/>
  <c r="U838"/>
  <c r="T838"/>
  <c r="F838"/>
  <c r="D838"/>
  <c r="U837"/>
  <c r="T837"/>
  <c r="F837"/>
  <c r="D837"/>
  <c r="U836"/>
  <c r="T836"/>
  <c r="F836"/>
  <c r="D836"/>
  <c r="U835"/>
  <c r="T835"/>
  <c r="F835"/>
  <c r="D835"/>
  <c r="U834"/>
  <c r="T834"/>
  <c r="F834"/>
  <c r="D834"/>
  <c r="U833"/>
  <c r="T833"/>
  <c r="F833"/>
  <c r="D833"/>
  <c r="U832"/>
  <c r="T832"/>
  <c r="F832"/>
  <c r="D832"/>
  <c r="U831"/>
  <c r="T831"/>
  <c r="F831"/>
  <c r="D831"/>
  <c r="U830"/>
  <c r="T830"/>
  <c r="F830"/>
  <c r="D830"/>
  <c r="U829"/>
  <c r="T829"/>
  <c r="F829"/>
  <c r="D829"/>
  <c r="U828"/>
  <c r="T828"/>
  <c r="F828"/>
  <c r="D828"/>
  <c r="U827"/>
  <c r="T827"/>
  <c r="F827"/>
  <c r="D827"/>
  <c r="U826"/>
  <c r="T826"/>
  <c r="F826"/>
  <c r="D826"/>
  <c r="U825"/>
  <c r="T825"/>
  <c r="F825"/>
  <c r="D825"/>
  <c r="U824"/>
  <c r="T824"/>
  <c r="F824"/>
  <c r="D824"/>
  <c r="U823"/>
  <c r="T823"/>
  <c r="F823"/>
  <c r="D823"/>
  <c r="U822"/>
  <c r="T822"/>
  <c r="F822"/>
  <c r="D822"/>
  <c r="U821"/>
  <c r="T821"/>
  <c r="F821"/>
  <c r="D821"/>
  <c r="U820"/>
  <c r="T820"/>
  <c r="F820"/>
  <c r="D820"/>
  <c r="U819"/>
  <c r="T819"/>
  <c r="F819"/>
  <c r="D819"/>
  <c r="U818"/>
  <c r="T818"/>
  <c r="F818"/>
  <c r="D818"/>
  <c r="U817"/>
  <c r="T817"/>
  <c r="F817"/>
  <c r="D817"/>
  <c r="U816"/>
  <c r="T816"/>
  <c r="F816"/>
  <c r="D816"/>
  <c r="U815"/>
  <c r="T815"/>
  <c r="F815"/>
  <c r="D815"/>
  <c r="U814"/>
  <c r="T814"/>
  <c r="F814"/>
  <c r="D814"/>
  <c r="U813"/>
  <c r="T813"/>
  <c r="F813"/>
  <c r="D813"/>
  <c r="U812"/>
  <c r="T812"/>
  <c r="F812"/>
  <c r="D812"/>
  <c r="U811"/>
  <c r="T811"/>
  <c r="F811"/>
  <c r="D811"/>
  <c r="U810"/>
  <c r="T810"/>
  <c r="F810"/>
  <c r="D810"/>
  <c r="U809"/>
  <c r="T809"/>
  <c r="F809"/>
  <c r="D809"/>
  <c r="U808"/>
  <c r="T808"/>
  <c r="F808"/>
  <c r="D808"/>
  <c r="U807"/>
  <c r="T807"/>
  <c r="F807"/>
  <c r="D807"/>
  <c r="U806"/>
  <c r="T806"/>
  <c r="F806"/>
  <c r="D806"/>
  <c r="U805"/>
  <c r="T805"/>
  <c r="F805"/>
  <c r="D805"/>
  <c r="U804"/>
  <c r="T804"/>
  <c r="F804"/>
  <c r="D804"/>
  <c r="U803"/>
  <c r="T803"/>
  <c r="F803"/>
  <c r="D803"/>
  <c r="U802"/>
  <c r="T802"/>
  <c r="F802"/>
  <c r="D802"/>
  <c r="U801"/>
  <c r="T801"/>
  <c r="F801"/>
  <c r="D801"/>
  <c r="U800"/>
  <c r="T800"/>
  <c r="F800"/>
  <c r="D800"/>
  <c r="U799"/>
  <c r="T799"/>
  <c r="F799"/>
  <c r="D799"/>
  <c r="U798"/>
  <c r="T798"/>
  <c r="F798"/>
  <c r="D798"/>
  <c r="U797"/>
  <c r="T797"/>
  <c r="F797"/>
  <c r="D797"/>
  <c r="U796"/>
  <c r="T796"/>
  <c r="F796"/>
  <c r="D796"/>
  <c r="U795"/>
  <c r="T795"/>
  <c r="F795"/>
  <c r="D795"/>
  <c r="U794"/>
  <c r="T794"/>
  <c r="F794"/>
  <c r="D794"/>
  <c r="U793"/>
  <c r="T793"/>
  <c r="F793"/>
  <c r="D793"/>
  <c r="U792"/>
  <c r="T792"/>
  <c r="F792"/>
  <c r="D792"/>
  <c r="U791"/>
  <c r="T791"/>
  <c r="F791"/>
  <c r="D791"/>
  <c r="U790"/>
  <c r="T790"/>
  <c r="F790"/>
  <c r="D790"/>
  <c r="U789"/>
  <c r="T789"/>
  <c r="F789"/>
  <c r="D789"/>
  <c r="U788"/>
  <c r="T788"/>
  <c r="F788"/>
  <c r="D788"/>
  <c r="U787"/>
  <c r="T787"/>
  <c r="F787"/>
  <c r="D787"/>
  <c r="U786"/>
  <c r="T786"/>
  <c r="F786"/>
  <c r="D786"/>
  <c r="U785"/>
  <c r="T785"/>
  <c r="F785"/>
  <c r="D785"/>
  <c r="U784"/>
  <c r="T784"/>
  <c r="F784"/>
  <c r="D784"/>
  <c r="U783"/>
  <c r="T783"/>
  <c r="F783"/>
  <c r="D783"/>
  <c r="U782"/>
  <c r="T782"/>
  <c r="F782"/>
  <c r="D782"/>
  <c r="U781"/>
  <c r="T781"/>
  <c r="F781"/>
  <c r="D781"/>
  <c r="U780"/>
  <c r="T780"/>
  <c r="F780"/>
  <c r="D780"/>
  <c r="U779"/>
  <c r="T779"/>
  <c r="F779"/>
  <c r="D779"/>
  <c r="U778"/>
  <c r="T778"/>
  <c r="F778"/>
  <c r="D778"/>
  <c r="U777"/>
  <c r="T777"/>
  <c r="F777"/>
  <c r="D777"/>
  <c r="U776"/>
  <c r="T776"/>
  <c r="F776"/>
  <c r="D776"/>
  <c r="U775"/>
  <c r="T775"/>
  <c r="F775"/>
  <c r="D775"/>
  <c r="U774"/>
  <c r="T774"/>
  <c r="F774"/>
  <c r="D774"/>
  <c r="U773"/>
  <c r="T773"/>
  <c r="F773"/>
  <c r="D773"/>
  <c r="U772"/>
  <c r="T772"/>
  <c r="F772"/>
  <c r="D772"/>
  <c r="U771"/>
  <c r="T771"/>
  <c r="F771"/>
  <c r="D771"/>
  <c r="U770"/>
  <c r="T770"/>
  <c r="F770"/>
  <c r="D770"/>
  <c r="U769"/>
  <c r="T769"/>
  <c r="F769"/>
  <c r="D769"/>
  <c r="U768"/>
  <c r="T768"/>
  <c r="F768"/>
  <c r="D768"/>
  <c r="U767"/>
  <c r="T767"/>
  <c r="F767"/>
  <c r="D767"/>
  <c r="U766"/>
  <c r="T766"/>
  <c r="F766"/>
  <c r="D766"/>
  <c r="U765"/>
  <c r="T765"/>
  <c r="F765"/>
  <c r="D765"/>
  <c r="U764"/>
  <c r="T764"/>
  <c r="F764"/>
  <c r="D764"/>
  <c r="U763"/>
  <c r="T763"/>
  <c r="F763"/>
  <c r="D763"/>
  <c r="U762"/>
  <c r="T762"/>
  <c r="F762"/>
  <c r="D762"/>
  <c r="U761"/>
  <c r="T761"/>
  <c r="F761"/>
  <c r="D761"/>
  <c r="U760"/>
  <c r="T760"/>
  <c r="F760"/>
  <c r="D760"/>
  <c r="U759"/>
  <c r="T759"/>
  <c r="F759"/>
  <c r="D759"/>
  <c r="U758"/>
  <c r="T758"/>
  <c r="F758"/>
  <c r="D758"/>
  <c r="U757"/>
  <c r="T757"/>
  <c r="F757"/>
  <c r="D757"/>
  <c r="U756"/>
  <c r="T756"/>
  <c r="F756"/>
  <c r="D756"/>
  <c r="U755"/>
  <c r="T755"/>
  <c r="F755"/>
  <c r="D755"/>
  <c r="U754"/>
  <c r="T754"/>
  <c r="F754"/>
  <c r="D754"/>
  <c r="U753"/>
  <c r="T753"/>
  <c r="F753"/>
  <c r="D753"/>
  <c r="U752"/>
  <c r="T752"/>
  <c r="F752"/>
  <c r="D752"/>
  <c r="U751"/>
  <c r="T751"/>
  <c r="F751"/>
  <c r="D751"/>
  <c r="U750"/>
  <c r="T750"/>
  <c r="F750"/>
  <c r="D750"/>
  <c r="U749"/>
  <c r="T749"/>
  <c r="F749"/>
  <c r="D749"/>
  <c r="U748"/>
  <c r="T748"/>
  <c r="F748"/>
  <c r="D748"/>
  <c r="U747"/>
  <c r="T747"/>
  <c r="F747"/>
  <c r="D747"/>
  <c r="U746"/>
  <c r="T746"/>
  <c r="F746"/>
  <c r="D746"/>
  <c r="U745"/>
  <c r="T745"/>
  <c r="F745"/>
  <c r="D745"/>
  <c r="U744"/>
  <c r="T744"/>
  <c r="F744"/>
  <c r="D744"/>
  <c r="U743"/>
  <c r="T743"/>
  <c r="F743"/>
  <c r="D743"/>
  <c r="U742"/>
  <c r="T742"/>
  <c r="F742"/>
  <c r="D742"/>
  <c r="U741"/>
  <c r="T741"/>
  <c r="F741"/>
  <c r="D741"/>
  <c r="U740"/>
  <c r="T740"/>
  <c r="F740"/>
  <c r="D740"/>
  <c r="U739"/>
  <c r="T739"/>
  <c r="F739"/>
  <c r="D739"/>
  <c r="U738"/>
  <c r="T738"/>
  <c r="F738"/>
  <c r="D738"/>
  <c r="U737"/>
  <c r="T737"/>
  <c r="F737"/>
  <c r="D737"/>
  <c r="U736"/>
  <c r="T736"/>
  <c r="F736"/>
  <c r="D736"/>
  <c r="U735"/>
  <c r="T735"/>
  <c r="F735"/>
  <c r="D735"/>
  <c r="U734"/>
  <c r="T734"/>
  <c r="F734"/>
  <c r="D734"/>
  <c r="U733"/>
  <c r="T733"/>
  <c r="F733"/>
  <c r="D733"/>
  <c r="U732"/>
  <c r="T732"/>
  <c r="F732"/>
  <c r="D732"/>
  <c r="U731"/>
  <c r="T731"/>
  <c r="F731"/>
  <c r="D731"/>
  <c r="U730"/>
  <c r="T730"/>
  <c r="F730"/>
  <c r="D730"/>
  <c r="U729"/>
  <c r="T729"/>
  <c r="F729"/>
  <c r="D729"/>
  <c r="U728"/>
  <c r="T728"/>
  <c r="F728"/>
  <c r="D728"/>
  <c r="U727"/>
  <c r="T727"/>
  <c r="F727"/>
  <c r="D727"/>
  <c r="U726"/>
  <c r="T726"/>
  <c r="F726"/>
  <c r="D726"/>
  <c r="U725"/>
  <c r="T725"/>
  <c r="F725"/>
  <c r="D725"/>
  <c r="U724"/>
  <c r="T724"/>
  <c r="F724"/>
  <c r="D724"/>
  <c r="U723"/>
  <c r="T723"/>
  <c r="F723"/>
  <c r="D723"/>
  <c r="U722"/>
  <c r="T722"/>
  <c r="F722"/>
  <c r="D722"/>
  <c r="U721"/>
  <c r="T721"/>
  <c r="F721"/>
  <c r="D721"/>
  <c r="U720"/>
  <c r="T720"/>
  <c r="F720"/>
  <c r="D720"/>
  <c r="U719"/>
  <c r="T719"/>
  <c r="F719"/>
  <c r="D719"/>
  <c r="U718"/>
  <c r="T718"/>
  <c r="F718"/>
  <c r="D718"/>
  <c r="U717"/>
  <c r="T717"/>
  <c r="F717"/>
  <c r="D717"/>
  <c r="U716"/>
  <c r="T716"/>
  <c r="F716"/>
  <c r="D716"/>
  <c r="U715"/>
  <c r="T715"/>
  <c r="F715"/>
  <c r="D715"/>
  <c r="U714"/>
  <c r="T714"/>
  <c r="F714"/>
  <c r="D714"/>
  <c r="U713"/>
  <c r="T713"/>
  <c r="F713"/>
  <c r="D713"/>
  <c r="U712"/>
  <c r="T712"/>
  <c r="F712"/>
  <c r="D712"/>
  <c r="U711"/>
  <c r="T711"/>
  <c r="F711"/>
  <c r="D711"/>
  <c r="U710"/>
  <c r="T710"/>
  <c r="F710"/>
  <c r="D710"/>
  <c r="U709"/>
  <c r="T709"/>
  <c r="F709"/>
  <c r="D709"/>
  <c r="U708"/>
  <c r="T708"/>
  <c r="F708"/>
  <c r="D708"/>
  <c r="U707"/>
  <c r="T707"/>
  <c r="F707"/>
  <c r="D707"/>
  <c r="U706"/>
  <c r="T706"/>
  <c r="F706"/>
  <c r="D706"/>
  <c r="U705"/>
  <c r="T705"/>
  <c r="F705"/>
  <c r="D705"/>
  <c r="U704"/>
  <c r="T704"/>
  <c r="F704"/>
  <c r="D704"/>
  <c r="U703"/>
  <c r="T703"/>
  <c r="F703"/>
  <c r="D703"/>
  <c r="U702"/>
  <c r="T702"/>
  <c r="F702"/>
  <c r="D702"/>
  <c r="U701"/>
  <c r="T701"/>
  <c r="F701"/>
  <c r="D701"/>
  <c r="U700"/>
  <c r="T700"/>
  <c r="F700"/>
  <c r="D700"/>
  <c r="U699"/>
  <c r="T699"/>
  <c r="F699"/>
  <c r="D699"/>
  <c r="U698"/>
  <c r="T698"/>
  <c r="F698"/>
  <c r="D698"/>
  <c r="U697"/>
  <c r="T697"/>
  <c r="F697"/>
  <c r="D697"/>
  <c r="U696"/>
  <c r="T696"/>
  <c r="F696"/>
  <c r="D696"/>
  <c r="U695"/>
  <c r="T695"/>
  <c r="F695"/>
  <c r="D695"/>
  <c r="U694"/>
  <c r="T694"/>
  <c r="F694"/>
  <c r="D694"/>
  <c r="U693"/>
  <c r="T693"/>
  <c r="F693"/>
  <c r="D693"/>
  <c r="F692"/>
  <c r="D692"/>
  <c r="U691"/>
  <c r="T691"/>
  <c r="F691"/>
  <c r="D691"/>
  <c r="U690"/>
  <c r="T690"/>
  <c r="F690"/>
  <c r="D690"/>
  <c r="U689"/>
  <c r="T689"/>
  <c r="F689"/>
  <c r="D689"/>
  <c r="U688"/>
  <c r="T688"/>
  <c r="F688"/>
  <c r="D688"/>
  <c r="U687"/>
  <c r="T687"/>
  <c r="F687"/>
  <c r="D687"/>
  <c r="U686"/>
  <c r="T686"/>
  <c r="F686"/>
  <c r="D686"/>
  <c r="U685"/>
  <c r="T685"/>
  <c r="F685"/>
  <c r="D685"/>
  <c r="U684"/>
  <c r="T684"/>
  <c r="F684"/>
  <c r="D684"/>
  <c r="U683"/>
  <c r="T683"/>
  <c r="F683"/>
  <c r="D683"/>
  <c r="U682"/>
  <c r="T682"/>
  <c r="F682"/>
  <c r="D682"/>
  <c r="U681"/>
  <c r="T681"/>
  <c r="F681"/>
  <c r="D681"/>
  <c r="U680"/>
  <c r="T680"/>
  <c r="F680"/>
  <c r="D680"/>
  <c r="U679"/>
  <c r="T679"/>
  <c r="F679"/>
  <c r="D679"/>
  <c r="U678"/>
  <c r="T678"/>
  <c r="F678"/>
  <c r="D678"/>
  <c r="U677"/>
  <c r="T677"/>
  <c r="F677"/>
  <c r="D677"/>
  <c r="U676"/>
  <c r="T676"/>
  <c r="F676"/>
  <c r="D676"/>
  <c r="U675"/>
  <c r="T675"/>
  <c r="F675"/>
  <c r="D675"/>
  <c r="U674"/>
  <c r="T674"/>
  <c r="F674"/>
  <c r="D674"/>
  <c r="U673"/>
  <c r="T673"/>
  <c r="F673"/>
  <c r="D673"/>
  <c r="U672"/>
  <c r="T672"/>
  <c r="F672"/>
  <c r="D672"/>
  <c r="U671"/>
  <c r="T671"/>
  <c r="F671"/>
  <c r="D671"/>
  <c r="U670"/>
  <c r="T670"/>
  <c r="F670"/>
  <c r="D670"/>
  <c r="U669"/>
  <c r="T669"/>
  <c r="F669"/>
  <c r="D669"/>
  <c r="U668"/>
  <c r="T668"/>
  <c r="F668"/>
  <c r="D668"/>
  <c r="U667"/>
  <c r="T667"/>
  <c r="F667"/>
  <c r="D667"/>
  <c r="U666"/>
  <c r="T666"/>
  <c r="F666"/>
  <c r="D666"/>
  <c r="U665"/>
  <c r="T665"/>
  <c r="F665"/>
  <c r="D665"/>
  <c r="U664"/>
  <c r="T664"/>
  <c r="F664"/>
  <c r="D664"/>
  <c r="U663"/>
  <c r="T663"/>
  <c r="F663"/>
  <c r="D663"/>
  <c r="U662"/>
  <c r="T662"/>
  <c r="F662"/>
  <c r="D662"/>
  <c r="U661"/>
  <c r="T661"/>
  <c r="F661"/>
  <c r="D661"/>
  <c r="U660"/>
  <c r="T660"/>
  <c r="F660"/>
  <c r="D660"/>
  <c r="U659"/>
  <c r="T659"/>
  <c r="F659"/>
  <c r="D659"/>
  <c r="U658"/>
  <c r="T658"/>
  <c r="F658"/>
  <c r="D658"/>
  <c r="U657"/>
  <c r="T657"/>
  <c r="F657"/>
  <c r="D657"/>
  <c r="U656"/>
  <c r="T656"/>
  <c r="F656"/>
  <c r="D656"/>
  <c r="U655"/>
  <c r="T655"/>
  <c r="F655"/>
  <c r="D655"/>
  <c r="U654"/>
  <c r="T654"/>
  <c r="F654"/>
  <c r="D654"/>
  <c r="U653"/>
  <c r="T653"/>
  <c r="F653"/>
  <c r="D653"/>
  <c r="U652"/>
  <c r="T652"/>
  <c r="F652"/>
  <c r="D652"/>
  <c r="U651"/>
  <c r="T651"/>
  <c r="F651"/>
  <c r="D651"/>
  <c r="U650"/>
  <c r="T650"/>
  <c r="F650"/>
  <c r="D650"/>
  <c r="U649"/>
  <c r="T649"/>
  <c r="F649"/>
  <c r="D649"/>
  <c r="U648"/>
  <c r="T648"/>
  <c r="F648"/>
  <c r="D648"/>
  <c r="U647"/>
  <c r="T647"/>
  <c r="F647"/>
  <c r="D647"/>
  <c r="U646"/>
  <c r="T646"/>
  <c r="F646"/>
  <c r="D646"/>
  <c r="U645"/>
  <c r="T645"/>
  <c r="F645"/>
  <c r="D645"/>
  <c r="U644"/>
  <c r="T644"/>
  <c r="F644"/>
  <c r="D644"/>
  <c r="U643"/>
  <c r="T643"/>
  <c r="F643"/>
  <c r="D643"/>
  <c r="U642"/>
  <c r="T642"/>
  <c r="F642"/>
  <c r="D642"/>
  <c r="U641"/>
  <c r="T641"/>
  <c r="F641"/>
  <c r="D641"/>
  <c r="U640"/>
  <c r="T640"/>
  <c r="F640"/>
  <c r="D640"/>
  <c r="U639"/>
  <c r="T639"/>
  <c r="F639"/>
  <c r="D639"/>
  <c r="U638"/>
  <c r="T638"/>
  <c r="F638"/>
  <c r="D638"/>
  <c r="U637"/>
  <c r="T637"/>
  <c r="F637"/>
  <c r="D637"/>
  <c r="U636"/>
  <c r="T636"/>
  <c r="F636"/>
  <c r="D636"/>
  <c r="U635"/>
  <c r="T635"/>
  <c r="F635"/>
  <c r="D635"/>
  <c r="U634"/>
  <c r="T634"/>
  <c r="F634"/>
  <c r="D634"/>
  <c r="U633"/>
  <c r="T633"/>
  <c r="F633"/>
  <c r="D633"/>
  <c r="U632"/>
  <c r="T632"/>
  <c r="F632"/>
  <c r="D632"/>
  <c r="U631"/>
  <c r="T631"/>
  <c r="F631"/>
  <c r="D631"/>
  <c r="U630"/>
  <c r="T630"/>
  <c r="F630"/>
  <c r="D630"/>
  <c r="U629"/>
  <c r="T629"/>
  <c r="F629"/>
  <c r="D629"/>
  <c r="U628"/>
  <c r="T628"/>
  <c r="F628"/>
  <c r="D628"/>
  <c r="U627"/>
  <c r="T627"/>
  <c r="F627"/>
  <c r="D627"/>
  <c r="U626"/>
  <c r="T626"/>
  <c r="F626"/>
  <c r="D626"/>
  <c r="U625"/>
  <c r="T625"/>
  <c r="F625"/>
  <c r="D625"/>
  <c r="U624"/>
  <c r="T624"/>
  <c r="F624"/>
  <c r="D624"/>
  <c r="U623"/>
  <c r="T623"/>
  <c r="F623"/>
  <c r="D623"/>
  <c r="U622"/>
  <c r="T622"/>
  <c r="F622"/>
  <c r="D622"/>
  <c r="U621"/>
  <c r="T621"/>
  <c r="F621"/>
  <c r="D621"/>
  <c r="U620"/>
  <c r="T620"/>
  <c r="F620"/>
  <c r="D620"/>
  <c r="U619"/>
  <c r="T619"/>
  <c r="F619"/>
  <c r="D619"/>
  <c r="U618"/>
  <c r="T618"/>
  <c r="F618"/>
  <c r="D618"/>
  <c r="U617"/>
  <c r="T617"/>
  <c r="F617"/>
  <c r="D617"/>
  <c r="U616"/>
  <c r="T616"/>
  <c r="F616"/>
  <c r="D616"/>
  <c r="U615"/>
  <c r="T615"/>
  <c r="F615"/>
  <c r="D615"/>
  <c r="U614"/>
  <c r="T614"/>
  <c r="F614"/>
  <c r="D614"/>
  <c r="U613"/>
  <c r="T613"/>
  <c r="F613"/>
  <c r="D613"/>
  <c r="U612"/>
  <c r="T612"/>
  <c r="F612"/>
  <c r="D612"/>
  <c r="U611"/>
  <c r="T611"/>
  <c r="F611"/>
  <c r="D611"/>
  <c r="U610"/>
  <c r="T610"/>
  <c r="F610"/>
  <c r="D610"/>
  <c r="U609"/>
  <c r="T609"/>
  <c r="F609"/>
  <c r="D609"/>
  <c r="U608"/>
  <c r="T608"/>
  <c r="F608"/>
  <c r="D608"/>
  <c r="U607"/>
  <c r="T607"/>
  <c r="F607"/>
  <c r="D607"/>
  <c r="U606"/>
  <c r="T606"/>
  <c r="F606"/>
  <c r="D606"/>
  <c r="U605"/>
  <c r="T605"/>
  <c r="F605"/>
  <c r="D605"/>
  <c r="U604"/>
  <c r="T604"/>
  <c r="F604"/>
  <c r="D604"/>
  <c r="U603"/>
  <c r="T603"/>
  <c r="F603"/>
  <c r="D603"/>
  <c r="U602"/>
  <c r="T602"/>
  <c r="F602"/>
  <c r="D602"/>
  <c r="U601"/>
  <c r="T601"/>
  <c r="F601"/>
  <c r="D601"/>
  <c r="U600"/>
  <c r="T600"/>
  <c r="F600"/>
  <c r="D600"/>
  <c r="U599"/>
  <c r="T599"/>
  <c r="F599"/>
  <c r="D599"/>
  <c r="U598"/>
  <c r="T598"/>
  <c r="F598"/>
  <c r="D598"/>
  <c r="U597"/>
  <c r="T597"/>
  <c r="F597"/>
  <c r="D597"/>
  <c r="U596"/>
  <c r="T596"/>
  <c r="F596"/>
  <c r="D596"/>
  <c r="U595"/>
  <c r="T595"/>
  <c r="F595"/>
  <c r="D595"/>
  <c r="U594"/>
  <c r="T594"/>
  <c r="F594"/>
  <c r="D594"/>
  <c r="U593"/>
  <c r="T593"/>
  <c r="F593"/>
  <c r="D593"/>
  <c r="U592"/>
  <c r="T592"/>
  <c r="F592"/>
  <c r="D592"/>
  <c r="U591"/>
  <c r="T591"/>
  <c r="F591"/>
  <c r="D591"/>
  <c r="U590"/>
  <c r="T590"/>
  <c r="F590"/>
  <c r="D590"/>
  <c r="U589"/>
  <c r="T589"/>
  <c r="F589"/>
  <c r="D589"/>
  <c r="U588"/>
  <c r="T588"/>
  <c r="F588"/>
  <c r="D588"/>
  <c r="U587"/>
  <c r="T587"/>
  <c r="F587"/>
  <c r="D587"/>
  <c r="U586"/>
  <c r="T586"/>
  <c r="F586"/>
  <c r="D586"/>
  <c r="U585"/>
  <c r="T585"/>
  <c r="F585"/>
  <c r="D585"/>
  <c r="U584"/>
  <c r="T584"/>
  <c r="F584"/>
  <c r="D584"/>
  <c r="U583"/>
  <c r="T583"/>
  <c r="F583"/>
  <c r="D583"/>
  <c r="U582"/>
  <c r="T582"/>
  <c r="F582"/>
  <c r="D582"/>
  <c r="U581"/>
  <c r="T581"/>
  <c r="F581"/>
  <c r="D581"/>
  <c r="U580"/>
  <c r="T580"/>
  <c r="F580"/>
  <c r="D580"/>
  <c r="U579"/>
  <c r="T579"/>
  <c r="F579"/>
  <c r="D579"/>
  <c r="U578"/>
  <c r="T578"/>
  <c r="F578"/>
  <c r="D578"/>
  <c r="U577"/>
  <c r="T577"/>
  <c r="F577"/>
  <c r="D577"/>
  <c r="U576"/>
  <c r="T576"/>
  <c r="F576"/>
  <c r="D576"/>
  <c r="U575"/>
  <c r="T575"/>
  <c r="F575"/>
  <c r="D575"/>
  <c r="U574"/>
  <c r="T574"/>
  <c r="F574"/>
  <c r="D574"/>
  <c r="U573"/>
  <c r="T573"/>
  <c r="F573"/>
  <c r="D573"/>
  <c r="U572"/>
  <c r="T572"/>
  <c r="F572"/>
  <c r="D572"/>
  <c r="U571"/>
  <c r="T571"/>
  <c r="F571"/>
  <c r="D571"/>
  <c r="U570"/>
  <c r="T570"/>
  <c r="F570"/>
  <c r="D570"/>
  <c r="U569"/>
  <c r="T569"/>
  <c r="F569"/>
  <c r="D569"/>
  <c r="U568"/>
  <c r="T568"/>
  <c r="F568"/>
  <c r="D568"/>
  <c r="U567"/>
  <c r="T567"/>
  <c r="F567"/>
  <c r="D567"/>
  <c r="U566"/>
  <c r="T566"/>
  <c r="F566"/>
  <c r="D566"/>
  <c r="U565"/>
  <c r="T565"/>
  <c r="F565"/>
  <c r="D565"/>
  <c r="U564"/>
  <c r="T564"/>
  <c r="F564"/>
  <c r="D564"/>
  <c r="U563"/>
  <c r="T563"/>
  <c r="F563"/>
  <c r="D563"/>
  <c r="U562"/>
  <c r="T562"/>
  <c r="F562"/>
  <c r="D562"/>
  <c r="U561"/>
  <c r="T561"/>
  <c r="F561"/>
  <c r="D561"/>
  <c r="U560"/>
  <c r="T560"/>
  <c r="F560"/>
  <c r="D560"/>
  <c r="U559"/>
  <c r="T559"/>
  <c r="F559"/>
  <c r="D559"/>
  <c r="U558"/>
  <c r="T558"/>
  <c r="F558"/>
  <c r="D558"/>
  <c r="U557"/>
  <c r="T557"/>
  <c r="F557"/>
  <c r="D557"/>
  <c r="U556"/>
  <c r="T556"/>
  <c r="F556"/>
  <c r="D556"/>
  <c r="U555"/>
  <c r="T555"/>
  <c r="F555"/>
  <c r="D555"/>
  <c r="U554"/>
  <c r="T554"/>
  <c r="F554"/>
  <c r="D554"/>
  <c r="U553"/>
  <c r="T553"/>
  <c r="F553"/>
  <c r="D553"/>
  <c r="U552"/>
  <c r="T552"/>
  <c r="F552"/>
  <c r="D552"/>
  <c r="U551"/>
  <c r="T551"/>
  <c r="F551"/>
  <c r="D551"/>
  <c r="U550"/>
  <c r="T550"/>
  <c r="F550"/>
  <c r="D550"/>
  <c r="U549"/>
  <c r="T549"/>
  <c r="F549"/>
  <c r="D549"/>
  <c r="U548"/>
  <c r="T548"/>
  <c r="F548"/>
  <c r="D548"/>
  <c r="U547"/>
  <c r="T547"/>
  <c r="F547"/>
  <c r="D547"/>
  <c r="U546"/>
  <c r="T546"/>
  <c r="F546"/>
  <c r="D546"/>
  <c r="U545"/>
  <c r="T545"/>
  <c r="F545"/>
  <c r="D545"/>
  <c r="U544"/>
  <c r="T544"/>
  <c r="F544"/>
  <c r="D544"/>
  <c r="U543"/>
  <c r="T543"/>
  <c r="F543"/>
  <c r="D543"/>
  <c r="U542"/>
  <c r="T542"/>
  <c r="F542"/>
  <c r="D542"/>
  <c r="U541"/>
  <c r="T541"/>
  <c r="F541"/>
  <c r="D541"/>
  <c r="U540"/>
  <c r="T540"/>
  <c r="F540"/>
  <c r="D540"/>
  <c r="U539"/>
  <c r="T539"/>
  <c r="F539"/>
  <c r="D539"/>
  <c r="U538"/>
  <c r="T538"/>
  <c r="F538"/>
  <c r="D538"/>
  <c r="U537"/>
  <c r="T537"/>
  <c r="F537"/>
  <c r="D537"/>
  <c r="U536"/>
  <c r="T536"/>
  <c r="F536"/>
  <c r="D536"/>
  <c r="U535"/>
  <c r="T535"/>
  <c r="F535"/>
  <c r="D535"/>
  <c r="U534"/>
  <c r="T534"/>
  <c r="F534"/>
  <c r="D534"/>
  <c r="U533"/>
  <c r="T533"/>
  <c r="F533"/>
  <c r="D533"/>
  <c r="U532"/>
  <c r="T532"/>
  <c r="F532"/>
  <c r="D532"/>
  <c r="U531"/>
  <c r="T531"/>
  <c r="F531"/>
  <c r="D531"/>
  <c r="U530"/>
  <c r="T530"/>
  <c r="F530"/>
  <c r="D530"/>
  <c r="U529"/>
  <c r="T529"/>
  <c r="F529"/>
  <c r="D529"/>
  <c r="U528"/>
  <c r="T528"/>
  <c r="F528"/>
  <c r="D528"/>
  <c r="U527"/>
  <c r="T527"/>
  <c r="F527"/>
  <c r="D527"/>
  <c r="U526"/>
  <c r="T526"/>
  <c r="F526"/>
  <c r="D526"/>
  <c r="U525"/>
  <c r="T525"/>
  <c r="F525"/>
  <c r="D525"/>
  <c r="U524"/>
  <c r="T524"/>
  <c r="F524"/>
  <c r="D524"/>
  <c r="U523"/>
  <c r="T523"/>
  <c r="F523"/>
  <c r="D523"/>
  <c r="U522"/>
  <c r="T522"/>
  <c r="F522"/>
  <c r="D522"/>
  <c r="U521"/>
  <c r="T521"/>
  <c r="F521"/>
  <c r="D521"/>
  <c r="U520"/>
  <c r="T520"/>
  <c r="F520"/>
  <c r="D520"/>
  <c r="U519"/>
  <c r="T519"/>
  <c r="F519"/>
  <c r="D519"/>
  <c r="U518"/>
  <c r="T518"/>
  <c r="F518"/>
  <c r="D518"/>
  <c r="U517"/>
  <c r="T517"/>
  <c r="F517"/>
  <c r="D517"/>
  <c r="U516"/>
  <c r="T516"/>
  <c r="F516"/>
  <c r="D516"/>
  <c r="U515"/>
  <c r="T515"/>
  <c r="F515"/>
  <c r="D515"/>
  <c r="U514"/>
  <c r="T514"/>
  <c r="F514"/>
  <c r="D514"/>
  <c r="U513"/>
  <c r="T513"/>
  <c r="F513"/>
  <c r="D513"/>
  <c r="U512"/>
  <c r="T512"/>
  <c r="F512"/>
  <c r="D512"/>
  <c r="U511"/>
  <c r="T511"/>
  <c r="F511"/>
  <c r="D511"/>
  <c r="U510"/>
  <c r="T510"/>
  <c r="F510"/>
  <c r="D510"/>
  <c r="U509"/>
  <c r="T509"/>
  <c r="F509"/>
  <c r="D509"/>
  <c r="U508"/>
  <c r="T508"/>
  <c r="F508"/>
  <c r="D508"/>
  <c r="U507"/>
  <c r="T507"/>
  <c r="F507"/>
  <c r="D507"/>
  <c r="U506"/>
  <c r="T506"/>
  <c r="F506"/>
  <c r="D506"/>
  <c r="U505"/>
  <c r="T505"/>
  <c r="F505"/>
  <c r="D505"/>
  <c r="U504"/>
  <c r="T504"/>
  <c r="F504"/>
  <c r="D504"/>
  <c r="U503"/>
  <c r="T503"/>
  <c r="F503"/>
  <c r="D503"/>
  <c r="U502"/>
  <c r="T502"/>
  <c r="F502"/>
  <c r="D502"/>
  <c r="U501"/>
  <c r="T501"/>
  <c r="F501"/>
  <c r="D501"/>
  <c r="U500"/>
  <c r="T500"/>
  <c r="F500"/>
  <c r="D500"/>
  <c r="U499"/>
  <c r="T499"/>
  <c r="F499"/>
  <c r="D499"/>
  <c r="U498"/>
  <c r="T498"/>
  <c r="F498"/>
  <c r="D498"/>
  <c r="U497"/>
  <c r="T497"/>
  <c r="F497"/>
  <c r="D497"/>
  <c r="U496"/>
  <c r="T496"/>
  <c r="F496"/>
  <c r="D496"/>
  <c r="U495"/>
  <c r="T495"/>
  <c r="F495"/>
  <c r="D495"/>
  <c r="U494"/>
  <c r="T494"/>
  <c r="F494"/>
  <c r="D494"/>
  <c r="U493"/>
  <c r="T493"/>
  <c r="F493"/>
  <c r="D493"/>
  <c r="U492"/>
  <c r="T492"/>
  <c r="F492"/>
  <c r="D492"/>
  <c r="U491"/>
  <c r="T491"/>
  <c r="F491"/>
  <c r="D491"/>
  <c r="U490"/>
  <c r="T490"/>
  <c r="F490"/>
  <c r="D490"/>
  <c r="U489"/>
  <c r="T489"/>
  <c r="F489"/>
  <c r="D489"/>
  <c r="U488"/>
  <c r="T488"/>
  <c r="F488"/>
  <c r="D488"/>
  <c r="U487"/>
  <c r="T487"/>
  <c r="F487"/>
  <c r="D487"/>
  <c r="U486"/>
  <c r="T486"/>
  <c r="F486"/>
  <c r="D486"/>
  <c r="U485"/>
  <c r="T485"/>
  <c r="F485"/>
  <c r="D485"/>
  <c r="U484"/>
  <c r="T484"/>
  <c r="F484"/>
  <c r="D484"/>
  <c r="U483"/>
  <c r="T483"/>
  <c r="F483"/>
  <c r="D483"/>
  <c r="U482"/>
  <c r="T482"/>
  <c r="F482"/>
  <c r="D482"/>
  <c r="U481"/>
  <c r="T481"/>
  <c r="F481"/>
  <c r="D481"/>
  <c r="U480"/>
  <c r="T480"/>
  <c r="F480"/>
  <c r="D480"/>
  <c r="U479"/>
  <c r="T479"/>
  <c r="F479"/>
  <c r="D479"/>
  <c r="U478"/>
  <c r="T478"/>
  <c r="F478"/>
  <c r="D478"/>
  <c r="U477"/>
  <c r="T477"/>
  <c r="F477"/>
  <c r="D477"/>
  <c r="U476"/>
  <c r="T476"/>
  <c r="F476"/>
  <c r="D476"/>
  <c r="U475"/>
  <c r="T475"/>
  <c r="F475"/>
  <c r="D475"/>
  <c r="U474"/>
  <c r="T474"/>
  <c r="F474"/>
  <c r="D474"/>
  <c r="U473"/>
  <c r="T473"/>
  <c r="F473"/>
  <c r="D473"/>
  <c r="U472"/>
  <c r="T472"/>
  <c r="F472"/>
  <c r="D472"/>
  <c r="U471"/>
  <c r="T471"/>
  <c r="F471"/>
  <c r="D471"/>
  <c r="U470"/>
  <c r="T470"/>
  <c r="F470"/>
  <c r="D470"/>
  <c r="U469"/>
  <c r="T469"/>
  <c r="F469"/>
  <c r="D469"/>
  <c r="U468"/>
  <c r="T468"/>
  <c r="F468"/>
  <c r="D468"/>
  <c r="U467"/>
  <c r="T467"/>
  <c r="F467"/>
  <c r="D467"/>
  <c r="U466"/>
  <c r="T466"/>
  <c r="F466"/>
  <c r="D466"/>
  <c r="U465"/>
  <c r="T465"/>
  <c r="F465"/>
  <c r="D465"/>
  <c r="U464"/>
  <c r="T464"/>
  <c r="F464"/>
  <c r="D464"/>
  <c r="U463"/>
  <c r="T463"/>
  <c r="F463"/>
  <c r="D463"/>
  <c r="U462"/>
  <c r="T462"/>
  <c r="F462"/>
  <c r="D462"/>
  <c r="U461"/>
  <c r="T461"/>
  <c r="F461"/>
  <c r="D461"/>
  <c r="U460"/>
  <c r="T460"/>
  <c r="F460"/>
  <c r="D460"/>
  <c r="U459"/>
  <c r="T459"/>
  <c r="F459"/>
  <c r="D459"/>
  <c r="U458"/>
  <c r="T458"/>
  <c r="F458"/>
  <c r="D458"/>
  <c r="U457"/>
  <c r="T457"/>
  <c r="F457"/>
  <c r="D457"/>
  <c r="U456"/>
  <c r="T456"/>
  <c r="F456"/>
  <c r="D456"/>
  <c r="U455"/>
  <c r="T455"/>
  <c r="F455"/>
  <c r="D455"/>
  <c r="U454"/>
  <c r="T454"/>
  <c r="F454"/>
  <c r="D454"/>
  <c r="U453"/>
  <c r="T453"/>
  <c r="F453"/>
  <c r="D453"/>
  <c r="U452"/>
  <c r="T452"/>
  <c r="F452"/>
  <c r="D452"/>
  <c r="U451"/>
  <c r="T451"/>
  <c r="F451"/>
  <c r="D451"/>
  <c r="U450"/>
  <c r="T450"/>
  <c r="F450"/>
  <c r="D450"/>
  <c r="U449"/>
  <c r="T449"/>
  <c r="F449"/>
  <c r="D449"/>
  <c r="U448"/>
  <c r="T448"/>
  <c r="F448"/>
  <c r="D448"/>
  <c r="U447"/>
  <c r="T447"/>
  <c r="F447"/>
  <c r="D447"/>
  <c r="U446"/>
  <c r="T446"/>
  <c r="F446"/>
  <c r="D446"/>
  <c r="U445"/>
  <c r="T445"/>
  <c r="F445"/>
  <c r="D445"/>
  <c r="U444"/>
  <c r="T444"/>
  <c r="F444"/>
  <c r="D444"/>
  <c r="U443"/>
  <c r="T443"/>
  <c r="F443"/>
  <c r="D443"/>
  <c r="U442"/>
  <c r="T442"/>
  <c r="F442"/>
  <c r="D442"/>
  <c r="U441"/>
  <c r="T441"/>
  <c r="F441"/>
  <c r="D441"/>
  <c r="U440"/>
  <c r="T440"/>
  <c r="F440"/>
  <c r="D440"/>
  <c r="U439"/>
  <c r="T439"/>
  <c r="F439"/>
  <c r="D439"/>
  <c r="U438"/>
  <c r="T438"/>
  <c r="F438"/>
  <c r="D438"/>
  <c r="U437"/>
  <c r="T437"/>
  <c r="F437"/>
  <c r="D437"/>
  <c r="U436"/>
  <c r="T436"/>
  <c r="F436"/>
  <c r="D436"/>
  <c r="U435"/>
  <c r="T435"/>
  <c r="F435"/>
  <c r="D435"/>
  <c r="U434"/>
  <c r="T434"/>
  <c r="F434"/>
  <c r="D434"/>
  <c r="U433"/>
  <c r="T433"/>
  <c r="F433"/>
  <c r="D433"/>
  <c r="U432"/>
  <c r="T432"/>
  <c r="F432"/>
  <c r="D432"/>
  <c r="U431"/>
  <c r="T431"/>
  <c r="F431"/>
  <c r="D431"/>
  <c r="U430"/>
  <c r="T430"/>
  <c r="F430"/>
  <c r="D430"/>
  <c r="U429"/>
  <c r="T429"/>
  <c r="F429"/>
  <c r="D429"/>
  <c r="U428"/>
  <c r="T428"/>
  <c r="F428"/>
  <c r="D428"/>
  <c r="U427"/>
  <c r="T427"/>
  <c r="F427"/>
  <c r="D427"/>
  <c r="U426"/>
  <c r="T426"/>
  <c r="F426"/>
  <c r="D426"/>
  <c r="U425"/>
  <c r="T425"/>
  <c r="F425"/>
  <c r="D425"/>
  <c r="U424"/>
  <c r="T424"/>
  <c r="F424"/>
  <c r="D424"/>
  <c r="U423"/>
  <c r="T423"/>
  <c r="F423"/>
  <c r="D423"/>
  <c r="U422"/>
  <c r="T422"/>
  <c r="F422"/>
  <c r="D422"/>
  <c r="U421"/>
  <c r="T421"/>
  <c r="F421"/>
  <c r="D421"/>
  <c r="U420"/>
  <c r="T420"/>
  <c r="F420"/>
  <c r="D420"/>
  <c r="U419"/>
  <c r="T419"/>
  <c r="F419"/>
  <c r="D419"/>
  <c r="U418"/>
  <c r="T418"/>
  <c r="F418"/>
  <c r="D418"/>
  <c r="U417"/>
  <c r="T417"/>
  <c r="F417"/>
  <c r="D417"/>
  <c r="U416"/>
  <c r="T416"/>
  <c r="F416"/>
  <c r="D416"/>
  <c r="U415"/>
  <c r="T415"/>
  <c r="F415"/>
  <c r="D415"/>
  <c r="U414"/>
  <c r="T414"/>
  <c r="F414"/>
  <c r="D414"/>
  <c r="U413"/>
  <c r="T413"/>
  <c r="F413"/>
  <c r="D413"/>
  <c r="U412"/>
  <c r="T412"/>
  <c r="F412"/>
  <c r="D412"/>
  <c r="U411"/>
  <c r="T411"/>
  <c r="F411"/>
  <c r="D411"/>
  <c r="U410"/>
  <c r="T410"/>
  <c r="F410"/>
  <c r="D410"/>
  <c r="U409"/>
  <c r="T409"/>
  <c r="F409"/>
  <c r="D409"/>
  <c r="U408"/>
  <c r="T408"/>
  <c r="F408"/>
  <c r="D408"/>
  <c r="U407"/>
  <c r="T407"/>
  <c r="F407"/>
  <c r="D407"/>
  <c r="U406"/>
  <c r="T406"/>
  <c r="F406"/>
  <c r="D406"/>
  <c r="U405"/>
  <c r="T405"/>
  <c r="F405"/>
  <c r="D405"/>
  <c r="U404"/>
  <c r="T404"/>
  <c r="F404"/>
  <c r="D404"/>
  <c r="U403"/>
  <c r="T403"/>
  <c r="F403"/>
  <c r="D403"/>
  <c r="U402"/>
  <c r="T402"/>
  <c r="F402"/>
  <c r="D402"/>
  <c r="U401"/>
  <c r="T401"/>
  <c r="F401"/>
  <c r="D401"/>
  <c r="U400"/>
  <c r="T400"/>
  <c r="F400"/>
  <c r="D400"/>
  <c r="U399"/>
  <c r="T399"/>
  <c r="F399"/>
  <c r="D399"/>
  <c r="U398"/>
  <c r="T398"/>
  <c r="F398"/>
  <c r="D398"/>
  <c r="U397"/>
  <c r="T397"/>
  <c r="F397"/>
  <c r="D397"/>
  <c r="U396"/>
  <c r="T396"/>
  <c r="F396"/>
  <c r="D396"/>
  <c r="U395"/>
  <c r="T395"/>
  <c r="F395"/>
  <c r="D395"/>
  <c r="U394"/>
  <c r="T394"/>
  <c r="F394"/>
  <c r="D394"/>
  <c r="U393"/>
  <c r="T393"/>
  <c r="F393"/>
  <c r="D393"/>
  <c r="U392"/>
  <c r="T392"/>
  <c r="F392"/>
  <c r="D392"/>
  <c r="U391"/>
  <c r="T391"/>
  <c r="F391"/>
  <c r="D391"/>
  <c r="U390"/>
  <c r="T390"/>
  <c r="F390"/>
  <c r="D390"/>
  <c r="U389"/>
  <c r="T389"/>
  <c r="F389"/>
  <c r="D389"/>
  <c r="U388"/>
  <c r="T388"/>
  <c r="F388"/>
  <c r="D388"/>
  <c r="U387"/>
  <c r="T387"/>
  <c r="F387"/>
  <c r="D387"/>
  <c r="U386"/>
  <c r="T386"/>
  <c r="F386"/>
  <c r="D386"/>
  <c r="U385"/>
  <c r="T385"/>
  <c r="F385"/>
  <c r="D385"/>
  <c r="U384"/>
  <c r="T384"/>
  <c r="F384"/>
  <c r="D384"/>
  <c r="U383"/>
  <c r="T383"/>
  <c r="F383"/>
  <c r="D383"/>
  <c r="U382"/>
  <c r="T382"/>
  <c r="F382"/>
  <c r="D382"/>
  <c r="U381"/>
  <c r="T381"/>
  <c r="F381"/>
  <c r="D381"/>
  <c r="U380"/>
  <c r="T380"/>
  <c r="F380"/>
  <c r="D380"/>
  <c r="U379"/>
  <c r="T379"/>
  <c r="F379"/>
  <c r="D379"/>
  <c r="U378"/>
  <c r="T378"/>
  <c r="F378"/>
  <c r="D378"/>
  <c r="U377"/>
  <c r="T377"/>
  <c r="F377"/>
  <c r="D377"/>
  <c r="U376"/>
  <c r="T376"/>
  <c r="F376"/>
  <c r="D376"/>
  <c r="U375"/>
  <c r="T375"/>
  <c r="F375"/>
  <c r="D375"/>
  <c r="U374"/>
  <c r="T374"/>
  <c r="F374"/>
  <c r="D374"/>
  <c r="U373"/>
  <c r="T373"/>
  <c r="F373"/>
  <c r="D373"/>
  <c r="U372"/>
  <c r="T372"/>
  <c r="F372"/>
  <c r="D372"/>
  <c r="U371"/>
  <c r="T371"/>
  <c r="F371"/>
  <c r="D371"/>
  <c r="U370"/>
  <c r="T370"/>
  <c r="F370"/>
  <c r="D370"/>
  <c r="U369"/>
  <c r="T369"/>
  <c r="F369"/>
  <c r="D369"/>
  <c r="U368"/>
  <c r="T368"/>
  <c r="F368"/>
  <c r="D368"/>
  <c r="U367"/>
  <c r="T367"/>
  <c r="F367"/>
  <c r="D367"/>
  <c r="U366"/>
  <c r="T366"/>
  <c r="F366"/>
  <c r="D366"/>
  <c r="U365"/>
  <c r="T365"/>
  <c r="F365"/>
  <c r="D365"/>
  <c r="U364"/>
  <c r="T364"/>
  <c r="F364"/>
  <c r="D364"/>
  <c r="U363"/>
  <c r="T363"/>
  <c r="F363"/>
  <c r="D363"/>
  <c r="U362"/>
  <c r="T362"/>
  <c r="F362"/>
  <c r="D362"/>
  <c r="U361"/>
  <c r="T361"/>
  <c r="F361"/>
  <c r="D361"/>
  <c r="U360"/>
  <c r="T360"/>
  <c r="F360"/>
  <c r="D360"/>
  <c r="U359"/>
  <c r="T359"/>
  <c r="F359"/>
  <c r="D359"/>
  <c r="U358"/>
  <c r="T358"/>
  <c r="F358"/>
  <c r="D358"/>
  <c r="U357"/>
  <c r="T357"/>
  <c r="F357"/>
  <c r="D357"/>
  <c r="U356"/>
  <c r="T356"/>
  <c r="F356"/>
  <c r="D356"/>
  <c r="U355"/>
  <c r="T355"/>
  <c r="F355"/>
  <c r="D355"/>
  <c r="U354"/>
  <c r="T354"/>
  <c r="F354"/>
  <c r="D354"/>
  <c r="U353"/>
  <c r="T353"/>
  <c r="F353"/>
  <c r="D353"/>
  <c r="U352"/>
  <c r="T352"/>
  <c r="F352"/>
  <c r="D352"/>
  <c r="U351"/>
  <c r="T351"/>
  <c r="F351"/>
  <c r="D351"/>
  <c r="U350"/>
  <c r="T350"/>
  <c r="F350"/>
  <c r="D350"/>
  <c r="U349"/>
  <c r="T349"/>
  <c r="F349"/>
  <c r="D349"/>
  <c r="U348"/>
  <c r="T348"/>
  <c r="F348"/>
  <c r="D348"/>
  <c r="U347"/>
  <c r="T347"/>
  <c r="F347"/>
  <c r="D347"/>
  <c r="U346"/>
  <c r="T346"/>
  <c r="F346"/>
  <c r="D346"/>
  <c r="U345"/>
  <c r="T345"/>
  <c r="F345"/>
  <c r="D345"/>
  <c r="U344"/>
  <c r="T344"/>
  <c r="F344"/>
  <c r="D344"/>
  <c r="U343"/>
  <c r="T343"/>
  <c r="F343"/>
  <c r="D343"/>
  <c r="U342"/>
  <c r="T342"/>
  <c r="F342"/>
  <c r="D342"/>
  <c r="U341"/>
  <c r="T341"/>
  <c r="F341"/>
  <c r="D341"/>
  <c r="U340"/>
  <c r="T340"/>
  <c r="F340"/>
  <c r="D340"/>
  <c r="U339"/>
  <c r="T339"/>
  <c r="F339"/>
  <c r="D339"/>
  <c r="U338"/>
  <c r="T338"/>
  <c r="F338"/>
  <c r="D338"/>
  <c r="U337"/>
  <c r="T337"/>
  <c r="F337"/>
  <c r="D337"/>
  <c r="U336"/>
  <c r="T336"/>
  <c r="F336"/>
  <c r="D336"/>
  <c r="U335"/>
  <c r="T335"/>
  <c r="F335"/>
  <c r="D335"/>
  <c r="U334"/>
  <c r="T334"/>
  <c r="F334"/>
  <c r="D334"/>
  <c r="U333"/>
  <c r="T333"/>
  <c r="F333"/>
  <c r="D333"/>
  <c r="U332"/>
  <c r="T332"/>
  <c r="F332"/>
  <c r="D332"/>
  <c r="U331"/>
  <c r="T331"/>
  <c r="F331"/>
  <c r="D331"/>
  <c r="U330"/>
  <c r="T330"/>
  <c r="F330"/>
  <c r="D330"/>
  <c r="U329"/>
  <c r="T329"/>
  <c r="F329"/>
  <c r="D329"/>
  <c r="U328"/>
  <c r="T328"/>
  <c r="F328"/>
  <c r="D328"/>
  <c r="U327"/>
  <c r="T327"/>
  <c r="F327"/>
  <c r="D327"/>
  <c r="U326"/>
  <c r="T326"/>
  <c r="F326"/>
  <c r="D326"/>
  <c r="U325"/>
  <c r="T325"/>
  <c r="F325"/>
  <c r="D325"/>
  <c r="U324"/>
  <c r="T324"/>
  <c r="F324"/>
  <c r="D324"/>
  <c r="U323"/>
  <c r="T323"/>
  <c r="F323"/>
  <c r="D323"/>
  <c r="U322"/>
  <c r="T322"/>
  <c r="F322"/>
  <c r="D322"/>
  <c r="U321"/>
  <c r="T321"/>
  <c r="F321"/>
  <c r="D321"/>
  <c r="U320"/>
  <c r="T320"/>
  <c r="F320"/>
  <c r="D320"/>
  <c r="U319"/>
  <c r="T319"/>
  <c r="F319"/>
  <c r="D319"/>
  <c r="U318"/>
  <c r="T318"/>
  <c r="F318"/>
  <c r="D318"/>
  <c r="U317"/>
  <c r="T317"/>
  <c r="F317"/>
  <c r="D317"/>
  <c r="U316"/>
  <c r="T316"/>
  <c r="F316"/>
  <c r="D316"/>
  <c r="U315"/>
  <c r="T315"/>
  <c r="F315"/>
  <c r="D315"/>
  <c r="U314"/>
  <c r="T314"/>
  <c r="F314"/>
  <c r="D314"/>
  <c r="U313"/>
  <c r="T313"/>
  <c r="F313"/>
  <c r="D313"/>
  <c r="U312"/>
  <c r="T312"/>
  <c r="F312"/>
  <c r="D312"/>
  <c r="U311"/>
  <c r="T311"/>
  <c r="F311"/>
  <c r="D311"/>
  <c r="U310"/>
  <c r="T310"/>
  <c r="F310"/>
  <c r="D310"/>
  <c r="U309"/>
  <c r="T309"/>
  <c r="F309"/>
  <c r="D309"/>
  <c r="U308"/>
  <c r="T308"/>
  <c r="F308"/>
  <c r="D308"/>
  <c r="U307"/>
  <c r="T307"/>
  <c r="F307"/>
  <c r="D307"/>
  <c r="U306"/>
  <c r="T306"/>
  <c r="F306"/>
  <c r="D306"/>
  <c r="U305"/>
  <c r="T305"/>
  <c r="F305"/>
  <c r="D305"/>
  <c r="U304"/>
  <c r="T304"/>
  <c r="F304"/>
  <c r="D304"/>
  <c r="U303"/>
  <c r="T303"/>
  <c r="F303"/>
  <c r="D303"/>
  <c r="U302"/>
  <c r="T302"/>
  <c r="F302"/>
  <c r="D302"/>
  <c r="U301"/>
  <c r="T301"/>
  <c r="F301"/>
  <c r="D301"/>
  <c r="U300"/>
  <c r="T300"/>
  <c r="F300"/>
  <c r="D300"/>
  <c r="U299"/>
  <c r="T299"/>
  <c r="F299"/>
  <c r="D299"/>
  <c r="U298"/>
  <c r="T298"/>
  <c r="F298"/>
  <c r="D298"/>
  <c r="U297"/>
  <c r="T297"/>
  <c r="F297"/>
  <c r="D297"/>
  <c r="U296"/>
  <c r="T296"/>
  <c r="F296"/>
  <c r="D296"/>
  <c r="U295"/>
  <c r="T295"/>
  <c r="F295"/>
  <c r="D295"/>
  <c r="U294"/>
  <c r="T294"/>
  <c r="F294"/>
  <c r="D294"/>
  <c r="U293"/>
  <c r="T293"/>
  <c r="F293"/>
  <c r="D293"/>
  <c r="U292"/>
  <c r="T292"/>
  <c r="F292"/>
  <c r="D292"/>
  <c r="U291"/>
  <c r="T291"/>
  <c r="F291"/>
  <c r="D291"/>
  <c r="U290"/>
  <c r="T290"/>
  <c r="F290"/>
  <c r="D290"/>
  <c r="U289"/>
  <c r="T289"/>
  <c r="F289"/>
  <c r="D289"/>
  <c r="U288"/>
  <c r="T288"/>
  <c r="F288"/>
  <c r="D288"/>
  <c r="U287"/>
  <c r="T287"/>
  <c r="F287"/>
  <c r="D287"/>
  <c r="U286"/>
  <c r="T286"/>
  <c r="F286"/>
  <c r="D286"/>
  <c r="U285"/>
  <c r="T285"/>
  <c r="F285"/>
  <c r="D285"/>
  <c r="U284"/>
  <c r="T284"/>
  <c r="F284"/>
  <c r="D284"/>
  <c r="U283"/>
  <c r="T283"/>
  <c r="F283"/>
  <c r="D283"/>
  <c r="U282"/>
  <c r="T282"/>
  <c r="F282"/>
  <c r="D282"/>
  <c r="U281"/>
  <c r="T281"/>
  <c r="F281"/>
  <c r="D281"/>
  <c r="U280"/>
  <c r="T280"/>
  <c r="F280"/>
  <c r="D280"/>
  <c r="U279"/>
  <c r="T279"/>
  <c r="F279"/>
  <c r="D279"/>
  <c r="U278"/>
  <c r="T278"/>
  <c r="F278"/>
  <c r="D278"/>
  <c r="U277"/>
  <c r="T277"/>
  <c r="F277"/>
  <c r="D277"/>
  <c r="U276"/>
  <c r="T276"/>
  <c r="F276"/>
  <c r="D276"/>
  <c r="U275"/>
  <c r="T275"/>
  <c r="F275"/>
  <c r="D275"/>
  <c r="U274"/>
  <c r="T274"/>
  <c r="F274"/>
  <c r="D274"/>
  <c r="U273"/>
  <c r="T273"/>
  <c r="F273"/>
  <c r="D273"/>
  <c r="U272"/>
  <c r="T272"/>
  <c r="F272"/>
  <c r="D272"/>
  <c r="U271"/>
  <c r="T271"/>
  <c r="F271"/>
  <c r="D271"/>
  <c r="U270"/>
  <c r="T270"/>
  <c r="F270"/>
  <c r="D270"/>
  <c r="U269"/>
  <c r="T269"/>
  <c r="F269"/>
  <c r="D269"/>
  <c r="U268"/>
  <c r="T268"/>
  <c r="F268"/>
  <c r="D268"/>
  <c r="U267"/>
  <c r="T267"/>
  <c r="F267"/>
  <c r="D267"/>
  <c r="U266"/>
  <c r="T266"/>
  <c r="F266"/>
  <c r="D266"/>
  <c r="U265"/>
  <c r="T265"/>
  <c r="F265"/>
  <c r="D265"/>
  <c r="U264"/>
  <c r="T264"/>
  <c r="F264"/>
  <c r="D264"/>
  <c r="U263"/>
  <c r="T263"/>
  <c r="F263"/>
  <c r="D263"/>
  <c r="U262"/>
  <c r="T262"/>
  <c r="F262"/>
  <c r="D262"/>
  <c r="U261"/>
  <c r="T261"/>
  <c r="F261"/>
  <c r="D261"/>
  <c r="U260"/>
  <c r="T260"/>
  <c r="F260"/>
  <c r="D260"/>
  <c r="U259"/>
  <c r="T259"/>
  <c r="F259"/>
  <c r="D259"/>
  <c r="U258"/>
  <c r="T258"/>
  <c r="F258"/>
  <c r="D258"/>
  <c r="U257"/>
  <c r="T257"/>
  <c r="F257"/>
  <c r="D257"/>
  <c r="U256"/>
  <c r="T256"/>
  <c r="F256"/>
  <c r="D256"/>
  <c r="U255"/>
  <c r="T255"/>
  <c r="F255"/>
  <c r="D255"/>
  <c r="U254"/>
  <c r="T254"/>
  <c r="F254"/>
  <c r="D254"/>
  <c r="U253"/>
  <c r="T253"/>
  <c r="F253"/>
  <c r="D253"/>
  <c r="U252"/>
  <c r="T252"/>
  <c r="F252"/>
  <c r="D252"/>
  <c r="U251"/>
  <c r="T251"/>
  <c r="F251"/>
  <c r="D251"/>
  <c r="U250"/>
  <c r="T250"/>
  <c r="F250"/>
  <c r="D250"/>
  <c r="U249"/>
  <c r="T249"/>
  <c r="F249"/>
  <c r="D249"/>
  <c r="U248"/>
  <c r="T248"/>
  <c r="F248"/>
  <c r="D248"/>
  <c r="U247"/>
  <c r="T247"/>
  <c r="F247"/>
  <c r="D247"/>
  <c r="U246"/>
  <c r="T246"/>
  <c r="F246"/>
  <c r="D246"/>
  <c r="U245"/>
  <c r="T245"/>
  <c r="F245"/>
  <c r="D245"/>
  <c r="U244"/>
  <c r="T244"/>
  <c r="F244"/>
  <c r="D244"/>
  <c r="U243"/>
  <c r="T243"/>
  <c r="F243"/>
  <c r="D243"/>
  <c r="U242"/>
  <c r="T242"/>
  <c r="F242"/>
  <c r="D242"/>
  <c r="U241"/>
  <c r="T241"/>
  <c r="F241"/>
  <c r="D241"/>
  <c r="U240"/>
  <c r="T240"/>
  <c r="F240"/>
  <c r="D240"/>
  <c r="U239"/>
  <c r="T239"/>
  <c r="F239"/>
  <c r="D239"/>
  <c r="U238"/>
  <c r="T238"/>
  <c r="F238"/>
  <c r="D238"/>
  <c r="U237"/>
  <c r="T237"/>
  <c r="F237"/>
  <c r="D237"/>
  <c r="U236"/>
  <c r="T236"/>
  <c r="F236"/>
  <c r="D236"/>
  <c r="U235"/>
  <c r="T235"/>
  <c r="F235"/>
  <c r="D235"/>
  <c r="U234"/>
  <c r="T234"/>
  <c r="F234"/>
  <c r="D234"/>
  <c r="U233"/>
  <c r="T233"/>
  <c r="F233"/>
  <c r="D233"/>
  <c r="U232"/>
  <c r="T232"/>
  <c r="F232"/>
  <c r="D232"/>
  <c r="U231"/>
  <c r="T231"/>
  <c r="F231"/>
  <c r="D231"/>
  <c r="U230"/>
  <c r="T230"/>
  <c r="F230"/>
  <c r="D230"/>
  <c r="U229"/>
  <c r="T229"/>
  <c r="F229"/>
  <c r="D229"/>
  <c r="U228"/>
  <c r="T228"/>
  <c r="F228"/>
  <c r="D228"/>
  <c r="U227"/>
  <c r="T227"/>
  <c r="F227"/>
  <c r="D227"/>
  <c r="U226"/>
  <c r="T226"/>
  <c r="F226"/>
  <c r="D226"/>
  <c r="U225"/>
  <c r="T225"/>
  <c r="F225"/>
  <c r="D225"/>
  <c r="U224"/>
  <c r="T224"/>
  <c r="F224"/>
  <c r="D224"/>
  <c r="U223"/>
  <c r="T223"/>
  <c r="F223"/>
  <c r="D223"/>
  <c r="U222"/>
  <c r="T222"/>
  <c r="F222"/>
  <c r="D222"/>
  <c r="U221"/>
  <c r="T221"/>
  <c r="F221"/>
  <c r="D221"/>
  <c r="U220"/>
  <c r="T220"/>
  <c r="F220"/>
  <c r="D220"/>
  <c r="U219"/>
  <c r="T219"/>
  <c r="F219"/>
  <c r="D219"/>
  <c r="U218"/>
  <c r="T218"/>
  <c r="F218"/>
  <c r="D218"/>
  <c r="U217"/>
  <c r="T217"/>
  <c r="F217"/>
  <c r="D217"/>
  <c r="U216"/>
  <c r="T216"/>
  <c r="F216"/>
  <c r="D216"/>
  <c r="U215"/>
  <c r="T215"/>
  <c r="F215"/>
  <c r="D215"/>
  <c r="U214"/>
  <c r="T214"/>
  <c r="F214"/>
  <c r="D214"/>
  <c r="U213"/>
  <c r="T213"/>
  <c r="F213"/>
  <c r="D213"/>
  <c r="U212"/>
  <c r="T212"/>
  <c r="F212"/>
  <c r="D212"/>
  <c r="U211"/>
  <c r="T211"/>
  <c r="F211"/>
  <c r="D211"/>
  <c r="U210"/>
  <c r="T210"/>
  <c r="F210"/>
  <c r="D210"/>
  <c r="U209"/>
  <c r="T209"/>
  <c r="F209"/>
  <c r="D209"/>
  <c r="U208"/>
  <c r="T208"/>
  <c r="F208"/>
  <c r="D208"/>
  <c r="U207"/>
  <c r="T207"/>
  <c r="F207"/>
  <c r="D207"/>
  <c r="U206"/>
  <c r="T206"/>
  <c r="F206"/>
  <c r="D206"/>
  <c r="U205"/>
  <c r="T205"/>
  <c r="F205"/>
  <c r="D205"/>
  <c r="U204"/>
  <c r="T204"/>
  <c r="F204"/>
  <c r="D204"/>
  <c r="U203"/>
  <c r="T203"/>
  <c r="F203"/>
  <c r="D203"/>
  <c r="U202"/>
  <c r="T202"/>
  <c r="F202"/>
  <c r="D202"/>
  <c r="U201"/>
  <c r="T201"/>
  <c r="F201"/>
  <c r="D201"/>
  <c r="U200"/>
  <c r="T200"/>
  <c r="F200"/>
  <c r="D200"/>
  <c r="U199"/>
  <c r="T199"/>
  <c r="F199"/>
  <c r="D199"/>
  <c r="U198"/>
  <c r="T198"/>
  <c r="F198"/>
  <c r="D198"/>
  <c r="U197"/>
  <c r="T197"/>
  <c r="F197"/>
  <c r="D197"/>
  <c r="U196"/>
  <c r="T196"/>
  <c r="F196"/>
  <c r="D196"/>
  <c r="U195"/>
  <c r="T195"/>
  <c r="F195"/>
  <c r="D195"/>
  <c r="U194"/>
  <c r="T194"/>
  <c r="F194"/>
  <c r="D194"/>
  <c r="U193"/>
  <c r="T193"/>
  <c r="F193"/>
  <c r="D193"/>
  <c r="U192"/>
  <c r="T192"/>
  <c r="F192"/>
  <c r="D192"/>
  <c r="U191"/>
  <c r="T191"/>
  <c r="F191"/>
  <c r="D191"/>
  <c r="U190"/>
  <c r="T190"/>
  <c r="F190"/>
  <c r="D190"/>
  <c r="U189"/>
  <c r="T189"/>
  <c r="F189"/>
  <c r="D189"/>
  <c r="U188"/>
  <c r="T188"/>
  <c r="F188"/>
  <c r="D188"/>
  <c r="U187"/>
  <c r="T187"/>
  <c r="F187"/>
  <c r="D187"/>
  <c r="U186"/>
  <c r="T186"/>
  <c r="F186"/>
  <c r="D186"/>
  <c r="U185"/>
  <c r="T185"/>
  <c r="F185"/>
  <c r="D185"/>
  <c r="U184"/>
  <c r="T184"/>
  <c r="F184"/>
  <c r="D184"/>
  <c r="U183"/>
  <c r="T183"/>
  <c r="F183"/>
  <c r="D183"/>
  <c r="U182"/>
  <c r="T182"/>
  <c r="F182"/>
  <c r="D182"/>
  <c r="U181"/>
  <c r="T181"/>
  <c r="F181"/>
  <c r="D181"/>
  <c r="U180"/>
  <c r="T180"/>
  <c r="F180"/>
  <c r="D180"/>
  <c r="U179"/>
  <c r="T179"/>
  <c r="F179"/>
  <c r="D179"/>
  <c r="U178"/>
  <c r="T178"/>
  <c r="F178"/>
  <c r="D178"/>
  <c r="U177"/>
  <c r="T177"/>
  <c r="F177"/>
  <c r="D177"/>
  <c r="U176"/>
  <c r="T176"/>
  <c r="F176"/>
  <c r="D176"/>
  <c r="U175"/>
  <c r="T175"/>
  <c r="F175"/>
  <c r="D175"/>
  <c r="U174"/>
  <c r="T174"/>
  <c r="F174"/>
  <c r="D174"/>
  <c r="U173"/>
  <c r="T173"/>
  <c r="F173"/>
  <c r="D173"/>
  <c r="U172"/>
  <c r="T172"/>
  <c r="F172"/>
  <c r="D172"/>
  <c r="U171"/>
  <c r="T171"/>
  <c r="F171"/>
  <c r="D171"/>
  <c r="U170"/>
  <c r="T170"/>
  <c r="F170"/>
  <c r="D170"/>
  <c r="U169"/>
  <c r="T169"/>
  <c r="F169"/>
  <c r="D169"/>
  <c r="U168"/>
  <c r="T168"/>
  <c r="F168"/>
  <c r="D168"/>
  <c r="U167"/>
  <c r="T167"/>
  <c r="F167"/>
  <c r="D167"/>
  <c r="U166"/>
  <c r="T166"/>
  <c r="F166"/>
  <c r="D166"/>
  <c r="U165"/>
  <c r="T165"/>
  <c r="F165"/>
  <c r="D165"/>
  <c r="U164"/>
  <c r="T164"/>
  <c r="F164"/>
  <c r="D164"/>
  <c r="U163"/>
  <c r="T163"/>
  <c r="F163"/>
  <c r="D163"/>
  <c r="U162"/>
  <c r="T162"/>
  <c r="F162"/>
  <c r="D162"/>
  <c r="U161"/>
  <c r="T161"/>
  <c r="F161"/>
  <c r="D161"/>
  <c r="U160"/>
  <c r="T160"/>
  <c r="F160"/>
  <c r="D160"/>
  <c r="U159"/>
  <c r="T159"/>
  <c r="F159"/>
  <c r="D159"/>
  <c r="U158"/>
  <c r="T158"/>
  <c r="F158"/>
  <c r="D158"/>
  <c r="U157"/>
  <c r="T157"/>
  <c r="F157"/>
  <c r="D157"/>
  <c r="U156"/>
  <c r="T156"/>
  <c r="F156"/>
  <c r="D156"/>
  <c r="U155"/>
  <c r="T155"/>
  <c r="F155"/>
  <c r="D155"/>
  <c r="U154"/>
  <c r="T154"/>
  <c r="F154"/>
  <c r="D154"/>
  <c r="U153"/>
  <c r="T153"/>
  <c r="F153"/>
  <c r="D153"/>
  <c r="U152"/>
  <c r="T152"/>
  <c r="F152"/>
  <c r="D152"/>
  <c r="U151"/>
  <c r="T151"/>
  <c r="F151"/>
  <c r="D151"/>
  <c r="U150"/>
  <c r="T150"/>
  <c r="F150"/>
  <c r="D150"/>
  <c r="U149"/>
  <c r="T149"/>
  <c r="F149"/>
  <c r="D149"/>
  <c r="U148"/>
  <c r="T148"/>
  <c r="F148"/>
  <c r="D148"/>
  <c r="U147"/>
  <c r="T147"/>
  <c r="F147"/>
  <c r="D147"/>
  <c r="U146"/>
  <c r="T146"/>
  <c r="F146"/>
  <c r="D146"/>
  <c r="U145"/>
  <c r="T145"/>
  <c r="F145"/>
  <c r="D145"/>
  <c r="U144"/>
  <c r="T144"/>
  <c r="F144"/>
  <c r="D144"/>
  <c r="U143"/>
  <c r="T143"/>
  <c r="F143"/>
  <c r="D143"/>
  <c r="U142"/>
  <c r="T142"/>
  <c r="F142"/>
  <c r="D142"/>
  <c r="U141"/>
  <c r="T141"/>
  <c r="F141"/>
  <c r="D141"/>
  <c r="U140"/>
  <c r="T140"/>
  <c r="F140"/>
  <c r="D140"/>
  <c r="U139"/>
  <c r="T139"/>
  <c r="F139"/>
  <c r="D139"/>
  <c r="U138"/>
  <c r="T138"/>
  <c r="F138"/>
  <c r="D138"/>
  <c r="U137"/>
  <c r="T137"/>
  <c r="F137"/>
  <c r="D137"/>
  <c r="U136"/>
  <c r="T136"/>
  <c r="F136"/>
  <c r="D136"/>
  <c r="U135"/>
  <c r="T135"/>
  <c r="F135"/>
  <c r="D135"/>
  <c r="U134"/>
  <c r="T134"/>
  <c r="F134"/>
  <c r="D134"/>
  <c r="U133"/>
  <c r="T133"/>
  <c r="F133"/>
  <c r="D133"/>
  <c r="U132"/>
  <c r="T132"/>
  <c r="F132"/>
  <c r="D132"/>
  <c r="U131"/>
  <c r="T131"/>
  <c r="F131"/>
  <c r="D131"/>
  <c r="U130"/>
  <c r="T130"/>
  <c r="F130"/>
  <c r="D130"/>
  <c r="U129"/>
  <c r="T129"/>
  <c r="F129"/>
  <c r="D129"/>
  <c r="U128"/>
  <c r="T128"/>
  <c r="F128"/>
  <c r="D128"/>
  <c r="U127"/>
  <c r="T127"/>
  <c r="F127"/>
  <c r="D127"/>
  <c r="U126"/>
  <c r="T126"/>
  <c r="F126"/>
  <c r="D126"/>
  <c r="U125"/>
  <c r="T125"/>
  <c r="F125"/>
  <c r="D125"/>
  <c r="U124"/>
  <c r="T124"/>
  <c r="F124"/>
  <c r="D124"/>
  <c r="U123"/>
  <c r="T123"/>
  <c r="F123"/>
  <c r="D123"/>
  <c r="U122"/>
  <c r="T122"/>
  <c r="F122"/>
  <c r="D122"/>
  <c r="U121"/>
  <c r="T121"/>
  <c r="F121"/>
  <c r="D121"/>
  <c r="U120"/>
  <c r="T120"/>
  <c r="F120"/>
  <c r="D120"/>
  <c r="U119"/>
  <c r="T119"/>
  <c r="F119"/>
  <c r="D119"/>
  <c r="U118"/>
  <c r="T118"/>
  <c r="F118"/>
  <c r="D118"/>
  <c r="U117"/>
  <c r="T117"/>
  <c r="F117"/>
  <c r="D117"/>
  <c r="U116"/>
  <c r="T116"/>
  <c r="F116"/>
  <c r="D116"/>
  <c r="U115"/>
  <c r="T115"/>
  <c r="F115"/>
  <c r="D115"/>
  <c r="U114"/>
  <c r="T114"/>
  <c r="F114"/>
  <c r="D114"/>
  <c r="U113"/>
  <c r="T113"/>
  <c r="F113"/>
  <c r="D113"/>
  <c r="U112"/>
  <c r="T112"/>
  <c r="F112"/>
  <c r="D112"/>
  <c r="U111"/>
  <c r="T111"/>
  <c r="F111"/>
  <c r="D111"/>
  <c r="U110"/>
  <c r="T110"/>
  <c r="F110"/>
  <c r="D110"/>
  <c r="U109"/>
  <c r="T109"/>
  <c r="F109"/>
  <c r="D109"/>
  <c r="U108"/>
  <c r="T108"/>
  <c r="F108"/>
  <c r="D108"/>
  <c r="U107"/>
  <c r="T107"/>
  <c r="F107"/>
  <c r="D107"/>
  <c r="U106"/>
  <c r="T106"/>
  <c r="F106"/>
  <c r="D106"/>
  <c r="U105"/>
  <c r="T105"/>
  <c r="F105"/>
  <c r="D105"/>
  <c r="U104"/>
  <c r="T104"/>
  <c r="F104"/>
  <c r="D104"/>
  <c r="U103"/>
  <c r="T103"/>
  <c r="F103"/>
  <c r="D103"/>
  <c r="U102"/>
  <c r="T102"/>
  <c r="F102"/>
  <c r="D102"/>
  <c r="U101"/>
  <c r="T101"/>
  <c r="F101"/>
  <c r="D101"/>
  <c r="U100"/>
  <c r="T100"/>
  <c r="F100"/>
  <c r="D100"/>
  <c r="U99"/>
  <c r="T99"/>
  <c r="F99"/>
  <c r="D99"/>
  <c r="U98"/>
  <c r="T98"/>
  <c r="F98"/>
  <c r="D98"/>
  <c r="U97"/>
  <c r="T97"/>
  <c r="F97"/>
  <c r="D97"/>
  <c r="U96"/>
  <c r="T96"/>
  <c r="F96"/>
  <c r="D96"/>
  <c r="U95"/>
  <c r="T95"/>
  <c r="F95"/>
  <c r="D95"/>
  <c r="U94"/>
  <c r="T94"/>
  <c r="F94"/>
  <c r="D94"/>
  <c r="U93"/>
  <c r="T93"/>
  <c r="F93"/>
  <c r="D93"/>
  <c r="U92"/>
  <c r="T92"/>
  <c r="F92"/>
  <c r="D92"/>
  <c r="U91"/>
  <c r="T91"/>
  <c r="F91"/>
  <c r="D91"/>
  <c r="U90"/>
  <c r="T90"/>
  <c r="F90"/>
  <c r="D90"/>
  <c r="U89"/>
  <c r="T89"/>
  <c r="F89"/>
  <c r="D89"/>
  <c r="U88"/>
  <c r="T88"/>
  <c r="F88"/>
  <c r="D88"/>
  <c r="U87"/>
  <c r="T87"/>
  <c r="F87"/>
  <c r="D87"/>
  <c r="U86"/>
  <c r="T86"/>
  <c r="F86"/>
  <c r="D86"/>
  <c r="U85"/>
  <c r="T85"/>
  <c r="F85"/>
  <c r="D85"/>
  <c r="U84"/>
  <c r="T84"/>
  <c r="F84"/>
  <c r="D84"/>
  <c r="U83"/>
  <c r="T83"/>
  <c r="F83"/>
  <c r="D83"/>
  <c r="U82"/>
  <c r="T82"/>
  <c r="F82"/>
  <c r="D82"/>
  <c r="U81"/>
  <c r="T81"/>
  <c r="F81"/>
  <c r="D81"/>
  <c r="U80"/>
  <c r="T80"/>
  <c r="F80"/>
  <c r="D80"/>
  <c r="U79"/>
  <c r="T79"/>
  <c r="F79"/>
  <c r="D79"/>
  <c r="U78"/>
  <c r="T78"/>
  <c r="F78"/>
  <c r="D78"/>
  <c r="U77"/>
  <c r="T77"/>
  <c r="F77"/>
  <c r="D77"/>
  <c r="U76"/>
  <c r="T76"/>
  <c r="F76"/>
  <c r="D76"/>
  <c r="U75"/>
  <c r="T75"/>
  <c r="F75"/>
  <c r="D75"/>
  <c r="U74"/>
  <c r="T74"/>
  <c r="F74"/>
  <c r="D74"/>
  <c r="U73"/>
  <c r="T73"/>
  <c r="F73"/>
  <c r="D73"/>
  <c r="U72"/>
  <c r="T72"/>
  <c r="F72"/>
  <c r="D72"/>
  <c r="U71"/>
  <c r="T71"/>
  <c r="F71"/>
  <c r="D71"/>
  <c r="U70"/>
  <c r="T70"/>
  <c r="F70"/>
  <c r="D70"/>
  <c r="U69"/>
  <c r="T69"/>
  <c r="F69"/>
  <c r="D69"/>
  <c r="U68"/>
  <c r="T68"/>
  <c r="F68"/>
  <c r="D68"/>
  <c r="U67"/>
  <c r="T67"/>
  <c r="F67"/>
  <c r="D67"/>
  <c r="U66"/>
  <c r="T66"/>
  <c r="F66"/>
  <c r="D66"/>
  <c r="U65"/>
  <c r="T65"/>
  <c r="F65"/>
  <c r="D65"/>
  <c r="U64"/>
  <c r="T64"/>
  <c r="F64"/>
  <c r="D64"/>
  <c r="U63"/>
  <c r="T63"/>
  <c r="F63"/>
  <c r="D63"/>
  <c r="U62"/>
  <c r="T62"/>
  <c r="F62"/>
  <c r="D62"/>
  <c r="U61"/>
  <c r="T61"/>
  <c r="F61"/>
  <c r="D61"/>
  <c r="U60"/>
  <c r="T60"/>
  <c r="F60"/>
  <c r="D60"/>
  <c r="U59"/>
  <c r="T59"/>
  <c r="F59"/>
  <c r="D59"/>
  <c r="U58"/>
  <c r="T58"/>
  <c r="F58"/>
  <c r="D58"/>
  <c r="U57"/>
  <c r="T57"/>
  <c r="F57"/>
  <c r="D57"/>
  <c r="U56"/>
  <c r="T56"/>
  <c r="F56"/>
  <c r="D56"/>
  <c r="U55"/>
  <c r="T55"/>
  <c r="F55"/>
  <c r="D55"/>
  <c r="U54"/>
  <c r="T54"/>
  <c r="F54"/>
  <c r="D54"/>
  <c r="U53"/>
  <c r="T53"/>
  <c r="F53"/>
  <c r="D53"/>
  <c r="U52"/>
  <c r="T52"/>
  <c r="F52"/>
  <c r="D52"/>
  <c r="U51"/>
  <c r="T51"/>
  <c r="F51"/>
  <c r="D51"/>
  <c r="U50"/>
  <c r="T50"/>
  <c r="F50"/>
  <c r="D50"/>
  <c r="U49"/>
  <c r="T49"/>
  <c r="F49"/>
  <c r="D49"/>
  <c r="U48"/>
  <c r="T48"/>
  <c r="F48"/>
  <c r="D48"/>
  <c r="U47"/>
  <c r="T47"/>
  <c r="F47"/>
  <c r="D47"/>
  <c r="U46"/>
  <c r="T46"/>
  <c r="F46"/>
  <c r="D46"/>
  <c r="U45"/>
  <c r="T45"/>
  <c r="F45"/>
  <c r="D45"/>
  <c r="U44"/>
  <c r="T44"/>
  <c r="F44"/>
  <c r="D44"/>
  <c r="U43"/>
  <c r="T43"/>
  <c r="F43"/>
  <c r="D43"/>
  <c r="U42"/>
  <c r="T42"/>
  <c r="F42"/>
  <c r="D42"/>
  <c r="U41"/>
  <c r="T41"/>
  <c r="F41"/>
  <c r="D41"/>
  <c r="U40"/>
  <c r="T40"/>
  <c r="F40"/>
  <c r="D40"/>
  <c r="U39"/>
  <c r="T39"/>
  <c r="F39"/>
  <c r="D39"/>
  <c r="U38"/>
  <c r="T38"/>
  <c r="F38"/>
  <c r="D38"/>
  <c r="U37"/>
  <c r="T37"/>
  <c r="F37"/>
  <c r="D37"/>
  <c r="U36"/>
  <c r="T36"/>
  <c r="F36"/>
  <c r="D36"/>
  <c r="U35"/>
  <c r="T35"/>
  <c r="F35"/>
  <c r="D35"/>
  <c r="U34"/>
  <c r="T34"/>
  <c r="F34"/>
  <c r="D34"/>
  <c r="U33"/>
  <c r="T33"/>
  <c r="F33"/>
  <c r="D33"/>
  <c r="U32"/>
  <c r="T32"/>
  <c r="F32"/>
  <c r="D32"/>
  <c r="U31"/>
  <c r="T31"/>
  <c r="F31"/>
  <c r="D31"/>
  <c r="U30"/>
  <c r="T30"/>
  <c r="F30"/>
  <c r="D30"/>
  <c r="U29"/>
  <c r="T29"/>
  <c r="F29"/>
  <c r="D29"/>
  <c r="U28"/>
  <c r="T28"/>
  <c r="F28"/>
  <c r="D28"/>
  <c r="U27"/>
  <c r="T27"/>
  <c r="F27"/>
  <c r="D27"/>
  <c r="U26"/>
  <c r="T26"/>
  <c r="F26"/>
  <c r="D26"/>
  <c r="U25"/>
  <c r="T25"/>
  <c r="F25"/>
  <c r="D25"/>
  <c r="U24"/>
  <c r="T24"/>
  <c r="F24"/>
  <c r="D24"/>
  <c r="U23"/>
  <c r="T23"/>
  <c r="F23"/>
  <c r="D23"/>
  <c r="U22"/>
  <c r="T22"/>
  <c r="F22"/>
  <c r="D22"/>
  <c r="U21"/>
  <c r="T21"/>
  <c r="F21"/>
  <c r="D21"/>
  <c r="U20"/>
  <c r="T20"/>
  <c r="F20"/>
  <c r="D20"/>
  <c r="U19"/>
  <c r="T19"/>
  <c r="F19"/>
  <c r="D19"/>
  <c r="U18"/>
  <c r="T18"/>
  <c r="F18"/>
  <c r="D18"/>
  <c r="U17"/>
  <c r="T17"/>
  <c r="F17"/>
  <c r="D17"/>
  <c r="U16"/>
  <c r="T16"/>
  <c r="F16"/>
  <c r="D16"/>
  <c r="U15"/>
  <c r="T15"/>
  <c r="F15"/>
  <c r="D15"/>
  <c r="U14"/>
  <c r="T14"/>
  <c r="F14"/>
  <c r="D14"/>
  <c r="U13"/>
  <c r="T13"/>
  <c r="F13"/>
  <c r="D13"/>
  <c r="U12"/>
  <c r="T12"/>
  <c r="F12"/>
  <c r="D12"/>
  <c r="U11"/>
  <c r="T11"/>
  <c r="F11"/>
  <c r="D11"/>
  <c r="U10"/>
  <c r="T10"/>
  <c r="F10"/>
  <c r="D10"/>
  <c r="U9"/>
  <c r="T9"/>
  <c r="F9"/>
  <c r="D9"/>
  <c r="U8"/>
  <c r="T8"/>
  <c r="F8"/>
  <c r="D8"/>
  <c r="U7"/>
  <c r="T7"/>
  <c r="F7"/>
  <c r="D7"/>
  <c r="U6"/>
  <c r="T6"/>
  <c r="F6"/>
  <c r="D6"/>
  <c r="U5"/>
  <c r="T5"/>
  <c r="F5"/>
  <c r="D5"/>
  <c r="U4"/>
  <c r="T4"/>
  <c r="F4"/>
  <c r="D4"/>
  <c r="U3"/>
  <c r="T3"/>
  <c r="F3"/>
  <c r="D3"/>
  <c r="U2"/>
  <c r="T2"/>
  <c r="F2"/>
  <c r="D2"/>
</calcChain>
</file>

<file path=xl/sharedStrings.xml><?xml version="1.0" encoding="utf-8"?>
<sst xmlns="http://schemas.openxmlformats.org/spreadsheetml/2006/main" count="9761" uniqueCount="1412">
  <si>
    <t>Customer ID</t>
  </si>
  <si>
    <t>First Name</t>
  </si>
  <si>
    <t>Last Name</t>
  </si>
  <si>
    <t>FullName</t>
  </si>
  <si>
    <t>Age</t>
  </si>
  <si>
    <t>AgeGroup</t>
  </si>
  <si>
    <t>State</t>
  </si>
  <si>
    <t>MTN Device</t>
  </si>
  <si>
    <t>Gender</t>
  </si>
  <si>
    <t>Satisfaction Rate</t>
  </si>
  <si>
    <t>Customer Review</t>
  </si>
  <si>
    <t>Customer Tenure in months</t>
  </si>
  <si>
    <t>Subscription Plan</t>
  </si>
  <si>
    <t>Unit Price</t>
  </si>
  <si>
    <t>Number of Times Purchased</t>
  </si>
  <si>
    <t>Total Revenue</t>
  </si>
  <si>
    <t>Data Usage</t>
  </si>
  <si>
    <t>Customer Churn Status</t>
  </si>
  <si>
    <t>Reasons for Churn</t>
  </si>
  <si>
    <t>Revenue at Risk</t>
  </si>
  <si>
    <t>TenureGroup</t>
  </si>
  <si>
    <t>CUST0001</t>
  </si>
  <si>
    <t>Ngozi</t>
  </si>
  <si>
    <t>Berry</t>
  </si>
  <si>
    <t>Kwara</t>
  </si>
  <si>
    <t>4G Router</t>
  </si>
  <si>
    <t>Male</t>
  </si>
  <si>
    <t>Fair</t>
  </si>
  <si>
    <t>165GB Monthly Plan</t>
  </si>
  <si>
    <t>Yes</t>
  </si>
  <si>
    <t>Relocation</t>
  </si>
  <si>
    <t>CUST0002</t>
  </si>
  <si>
    <t>Zainab</t>
  </si>
  <si>
    <t>Baker</t>
  </si>
  <si>
    <t>Abuja (FCT)</t>
  </si>
  <si>
    <t>Mobile SIM Card</t>
  </si>
  <si>
    <t>Female</t>
  </si>
  <si>
    <t>12.5GB Monthly Plan</t>
  </si>
  <si>
    <t>Better Offers from Competitors</t>
  </si>
  <si>
    <t>CUST0003</t>
  </si>
  <si>
    <t>Saidu</t>
  </si>
  <si>
    <t>Evans</t>
  </si>
  <si>
    <t>Sokoto</t>
  </si>
  <si>
    <t>5G Broadband Router</t>
  </si>
  <si>
    <t>Poor</t>
  </si>
  <si>
    <t>150GB FUP Monthly Unlimited</t>
  </si>
  <si>
    <t>No</t>
  </si>
  <si>
    <t>Unknown</t>
  </si>
  <si>
    <t>CUST0004</t>
  </si>
  <si>
    <t>1GB+1.5mins Daily Plan</t>
  </si>
  <si>
    <t>CUST0005</t>
  </si>
  <si>
    <t>Broadband MiFi</t>
  </si>
  <si>
    <t>30GB Monthly Broadband Plan</t>
  </si>
  <si>
    <t>CUST0006</t>
  </si>
  <si>
    <t>Ejiro</t>
  </si>
  <si>
    <t>Walker</t>
  </si>
  <si>
    <t>Gombe</t>
  </si>
  <si>
    <t>10GB+10mins Monthly Plan</t>
  </si>
  <si>
    <t>CUST0007</t>
  </si>
  <si>
    <t>Nura</t>
  </si>
  <si>
    <t>Mann</t>
  </si>
  <si>
    <t>Oyo</t>
  </si>
  <si>
    <t>Good</t>
  </si>
  <si>
    <t>25GB Monthly Plan</t>
  </si>
  <si>
    <t>CUST0008</t>
  </si>
  <si>
    <t>Tamuno</t>
  </si>
  <si>
    <t>Lewis</t>
  </si>
  <si>
    <t>Plateau</t>
  </si>
  <si>
    <t>Excellent</t>
  </si>
  <si>
    <t>7GB Monthly Plan</t>
  </si>
  <si>
    <t>CUST0009</t>
  </si>
  <si>
    <t>1.5TB Yearly Broadband Plan</t>
  </si>
  <si>
    <t>CUST0010</t>
  </si>
  <si>
    <t>65GB Monthly Plan</t>
  </si>
  <si>
    <t>CUST0011</t>
  </si>
  <si>
    <t>Boma</t>
  </si>
  <si>
    <t>Stewart</t>
  </si>
  <si>
    <t>Jigawa</t>
  </si>
  <si>
    <t>120GB Monthly Broadband Plan</t>
  </si>
  <si>
    <t>CUST0012</t>
  </si>
  <si>
    <t>Ifeanyi</t>
  </si>
  <si>
    <t>Park</t>
  </si>
  <si>
    <t>300GB FUP Monthly Unlimited</t>
  </si>
  <si>
    <t>CUST0013</t>
  </si>
  <si>
    <t>Bala</t>
  </si>
  <si>
    <t>Robbins</t>
  </si>
  <si>
    <t>CUST0014</t>
  </si>
  <si>
    <t>Halima</t>
  </si>
  <si>
    <t>Ochoa</t>
  </si>
  <si>
    <t>Imo</t>
  </si>
  <si>
    <t>CUST0015</t>
  </si>
  <si>
    <t>60GB Monthly Broadband Plan</t>
  </si>
  <si>
    <t>CUST0016</t>
  </si>
  <si>
    <t>500MB Daily Plan</t>
  </si>
  <si>
    <t>CUST0017</t>
  </si>
  <si>
    <t>Griffith</t>
  </si>
  <si>
    <t>Bauchi</t>
  </si>
  <si>
    <t>Poor Network</t>
  </si>
  <si>
    <t>CUST0018</t>
  </si>
  <si>
    <t>CUST0019</t>
  </si>
  <si>
    <t>CUST0020</t>
  </si>
  <si>
    <t>Morton</t>
  </si>
  <si>
    <t>Ondo</t>
  </si>
  <si>
    <t>CUST0021</t>
  </si>
  <si>
    <t>CUST0022</t>
  </si>
  <si>
    <t>Moreno</t>
  </si>
  <si>
    <t>Kebbi</t>
  </si>
  <si>
    <t>CUST0023</t>
  </si>
  <si>
    <t>3.2GB 2-Day Plan</t>
  </si>
  <si>
    <t>CUST0024</t>
  </si>
  <si>
    <t>Crawford</t>
  </si>
  <si>
    <t>Adamawa</t>
  </si>
  <si>
    <t>CUST0025</t>
  </si>
  <si>
    <t>20GB Monthly Plan</t>
  </si>
  <si>
    <t>CUST0026</t>
  </si>
  <si>
    <t>Abubakar</t>
  </si>
  <si>
    <t>Garner</t>
  </si>
  <si>
    <t>Yobe</t>
  </si>
  <si>
    <t>CUST0027</t>
  </si>
  <si>
    <t>CUST0028</t>
  </si>
  <si>
    <t>CUST0029</t>
  </si>
  <si>
    <t>Kunle</t>
  </si>
  <si>
    <t>Ford</t>
  </si>
  <si>
    <t>CUST0030</t>
  </si>
  <si>
    <t>CUST0031</t>
  </si>
  <si>
    <t>CUST0032</t>
  </si>
  <si>
    <t>Tunde</t>
  </si>
  <si>
    <t>Hayes</t>
  </si>
  <si>
    <t>Anambra</t>
  </si>
  <si>
    <t>Costly Data Plans</t>
  </si>
  <si>
    <t>CUST0033</t>
  </si>
  <si>
    <t>David</t>
  </si>
  <si>
    <t>Fletcher</t>
  </si>
  <si>
    <t>CUST0034</t>
  </si>
  <si>
    <t>Obinna</t>
  </si>
  <si>
    <t>Wright</t>
  </si>
  <si>
    <t>Cross River</t>
  </si>
  <si>
    <t>2.5GB 2-Day Plan</t>
  </si>
  <si>
    <t>CUST0035</t>
  </si>
  <si>
    <t>CUST0036</t>
  </si>
  <si>
    <t>Amaka</t>
  </si>
  <si>
    <t>Reed</t>
  </si>
  <si>
    <t>CUST0037</t>
  </si>
  <si>
    <t>450GB 3-Month Broadband Plan</t>
  </si>
  <si>
    <t>CUST0038</t>
  </si>
  <si>
    <t>CUST0039</t>
  </si>
  <si>
    <t>Oghene</t>
  </si>
  <si>
    <t>Brown</t>
  </si>
  <si>
    <t>CUST0040</t>
  </si>
  <si>
    <t>Shehu</t>
  </si>
  <si>
    <t>Ferguson</t>
  </si>
  <si>
    <t>Kogi</t>
  </si>
  <si>
    <t>CUST0041</t>
  </si>
  <si>
    <t>Vazquez</t>
  </si>
  <si>
    <t>Osun</t>
  </si>
  <si>
    <t>Very Good</t>
  </si>
  <si>
    <t>200GB Monthly Broadband Plan</t>
  </si>
  <si>
    <t>CUST0042</t>
  </si>
  <si>
    <t>Johnson</t>
  </si>
  <si>
    <t>Kano</t>
  </si>
  <si>
    <t>CUST0043</t>
  </si>
  <si>
    <t>CUST0044</t>
  </si>
  <si>
    <t>Benue</t>
  </si>
  <si>
    <t>CUST0045</t>
  </si>
  <si>
    <t>CUST0046</t>
  </si>
  <si>
    <t>CUST0047</t>
  </si>
  <si>
    <t>Ese</t>
  </si>
  <si>
    <t>Simmons</t>
  </si>
  <si>
    <t>CUST0048</t>
  </si>
  <si>
    <t>Maryam</t>
  </si>
  <si>
    <t>Reyes</t>
  </si>
  <si>
    <t>CUST0049</t>
  </si>
  <si>
    <t>CUST0050</t>
  </si>
  <si>
    <t>CUST0051</t>
  </si>
  <si>
    <t>Sanchez</t>
  </si>
  <si>
    <t>Rivers</t>
  </si>
  <si>
    <t>CUST0052</t>
  </si>
  <si>
    <t>CUST0053</t>
  </si>
  <si>
    <t>Franco</t>
  </si>
  <si>
    <t>Enugu</t>
  </si>
  <si>
    <t>CUST0054</t>
  </si>
  <si>
    <t>CUST0055</t>
  </si>
  <si>
    <t>Alabo</t>
  </si>
  <si>
    <t>Davis</t>
  </si>
  <si>
    <t>CUST0056</t>
  </si>
  <si>
    <t>CUST0057</t>
  </si>
  <si>
    <t>CUST0058</t>
  </si>
  <si>
    <t>West</t>
  </si>
  <si>
    <t>CUST0059</t>
  </si>
  <si>
    <t>CUST0060</t>
  </si>
  <si>
    <t>Terry</t>
  </si>
  <si>
    <t>CUST0061</t>
  </si>
  <si>
    <t>Amina</t>
  </si>
  <si>
    <t>Mosley</t>
  </si>
  <si>
    <t>Borno</t>
  </si>
  <si>
    <t>CUST0062</t>
  </si>
  <si>
    <t>Anderson</t>
  </si>
  <si>
    <t>Edo</t>
  </si>
  <si>
    <t>CUST0063</t>
  </si>
  <si>
    <t>CUST0064</t>
  </si>
  <si>
    <t>Mcguire</t>
  </si>
  <si>
    <t>Kaduna</t>
  </si>
  <si>
    <t>CUST0065</t>
  </si>
  <si>
    <t>CUST0066</t>
  </si>
  <si>
    <t>CUST0067</t>
  </si>
  <si>
    <t>Randall</t>
  </si>
  <si>
    <t>Abia</t>
  </si>
  <si>
    <t>CUST0068</t>
  </si>
  <si>
    <t>CUST0069</t>
  </si>
  <si>
    <t>Ruiz</t>
  </si>
  <si>
    <t>Ekiti</t>
  </si>
  <si>
    <t>CUST0070</t>
  </si>
  <si>
    <t>CUST0071</t>
  </si>
  <si>
    <t>CUST0072</t>
  </si>
  <si>
    <t>Zina</t>
  </si>
  <si>
    <t>Green</t>
  </si>
  <si>
    <t>Bayelsa</t>
  </si>
  <si>
    <t>CUST0073</t>
  </si>
  <si>
    <t>CUST0074</t>
  </si>
  <si>
    <t>Chinedu</t>
  </si>
  <si>
    <t>CUST0075</t>
  </si>
  <si>
    <t>CUST0076</t>
  </si>
  <si>
    <t>Mason</t>
  </si>
  <si>
    <t>CUST0077</t>
  </si>
  <si>
    <t>CUST0078</t>
  </si>
  <si>
    <t>Hoffman</t>
  </si>
  <si>
    <t>CUST0079</t>
  </si>
  <si>
    <t>1.5GB 2-Day Plan</t>
  </si>
  <si>
    <t>CUST0080</t>
  </si>
  <si>
    <t>Fast Data Consumption</t>
  </si>
  <si>
    <t>CUST0081</t>
  </si>
  <si>
    <t>CUST0082</t>
  </si>
  <si>
    <t>Grace</t>
  </si>
  <si>
    <t>CUST0083</t>
  </si>
  <si>
    <t>Thompson</t>
  </si>
  <si>
    <t>CUST0084</t>
  </si>
  <si>
    <t>CUST0085</t>
  </si>
  <si>
    <t>CUST0086</t>
  </si>
  <si>
    <t>CUST0087</t>
  </si>
  <si>
    <t>Christian</t>
  </si>
  <si>
    <t>Delta</t>
  </si>
  <si>
    <t>CUST0088</t>
  </si>
  <si>
    <t>Gentry</t>
  </si>
  <si>
    <t>CUST0089</t>
  </si>
  <si>
    <t>CUST0090</t>
  </si>
  <si>
    <t>CUST0091</t>
  </si>
  <si>
    <t>Taylor</t>
  </si>
  <si>
    <t>CUST0092</t>
  </si>
  <si>
    <t>CUST0093</t>
  </si>
  <si>
    <t>Tega</t>
  </si>
  <si>
    <t>Stevens</t>
  </si>
  <si>
    <t>CUST0094</t>
  </si>
  <si>
    <t>CUST0095</t>
  </si>
  <si>
    <t>Carter</t>
  </si>
  <si>
    <t>CUST0096</t>
  </si>
  <si>
    <t>CUST0097</t>
  </si>
  <si>
    <t>CUST0098</t>
  </si>
  <si>
    <t>Johnston</t>
  </si>
  <si>
    <t>CUST0099</t>
  </si>
  <si>
    <t>Christensen</t>
  </si>
  <si>
    <t>Zamfara</t>
  </si>
  <si>
    <t>CUST0100</t>
  </si>
  <si>
    <t>Potter</t>
  </si>
  <si>
    <t>Akwa Ibom</t>
  </si>
  <si>
    <t>16.5GB+10mins Monthly Plan</t>
  </si>
  <si>
    <t>CUST0101</t>
  </si>
  <si>
    <t>CUST0102</t>
  </si>
  <si>
    <t>CUST0103</t>
  </si>
  <si>
    <t>Smith</t>
  </si>
  <si>
    <t>CUST0104</t>
  </si>
  <si>
    <t>CUST0105</t>
  </si>
  <si>
    <t>Daniels</t>
  </si>
  <si>
    <t>Nasarawa</t>
  </si>
  <si>
    <t>CUST0106</t>
  </si>
  <si>
    <t>CUST0107</t>
  </si>
  <si>
    <t>CUST0108</t>
  </si>
  <si>
    <t>CUST0109</t>
  </si>
  <si>
    <t>Williams</t>
  </si>
  <si>
    <t>CUST0110</t>
  </si>
  <si>
    <t>CUST0111</t>
  </si>
  <si>
    <t>CUST0112</t>
  </si>
  <si>
    <t>Payne</t>
  </si>
  <si>
    <t>CUST0113</t>
  </si>
  <si>
    <t>CUST0114</t>
  </si>
  <si>
    <t>Ewing</t>
  </si>
  <si>
    <t>CUST0115</t>
  </si>
  <si>
    <t>CUST0116</t>
  </si>
  <si>
    <t>CUST0117</t>
  </si>
  <si>
    <t>Henson</t>
  </si>
  <si>
    <t>CUST0118</t>
  </si>
  <si>
    <t>CUST0119</t>
  </si>
  <si>
    <t>Flores</t>
  </si>
  <si>
    <t>Taraba</t>
  </si>
  <si>
    <t>CUST0120</t>
  </si>
  <si>
    <t>CUST0121</t>
  </si>
  <si>
    <t>CUST0122</t>
  </si>
  <si>
    <t>CUST0123</t>
  </si>
  <si>
    <t>Shaw</t>
  </si>
  <si>
    <t>CUST0124</t>
  </si>
  <si>
    <t>CUST0125</t>
  </si>
  <si>
    <t>Schneider</t>
  </si>
  <si>
    <t>CUST0126</t>
  </si>
  <si>
    <t>CUST0127</t>
  </si>
  <si>
    <t>CUST0128</t>
  </si>
  <si>
    <t>CUST0129</t>
  </si>
  <si>
    <t>CUST0130</t>
  </si>
  <si>
    <t>Oliver</t>
  </si>
  <si>
    <t>CUST0131</t>
  </si>
  <si>
    <t>Obrien</t>
  </si>
  <si>
    <t>CUST0132</t>
  </si>
  <si>
    <t>Keith</t>
  </si>
  <si>
    <t>CUST0133</t>
  </si>
  <si>
    <t>Hernandez</t>
  </si>
  <si>
    <t>CUST0134</t>
  </si>
  <si>
    <t>Flowers</t>
  </si>
  <si>
    <t>CUST0135</t>
  </si>
  <si>
    <t>Ibim</t>
  </si>
  <si>
    <t>Marshall</t>
  </si>
  <si>
    <t>CUST0136</t>
  </si>
  <si>
    <t>CUST0137</t>
  </si>
  <si>
    <t>CUST0138</t>
  </si>
  <si>
    <t>Medina</t>
  </si>
  <si>
    <t>CUST0139</t>
  </si>
  <si>
    <t>CUST0140</t>
  </si>
  <si>
    <t>CUST0141</t>
  </si>
  <si>
    <t>Mcneil</t>
  </si>
  <si>
    <t>CUST0142</t>
  </si>
  <si>
    <t>CUST0143</t>
  </si>
  <si>
    <t>Pitts</t>
  </si>
  <si>
    <t>CUST0144</t>
  </si>
  <si>
    <t>CUST0145</t>
  </si>
  <si>
    <t>CUST0146</t>
  </si>
  <si>
    <t>Kelly</t>
  </si>
  <si>
    <t>CUST0147</t>
  </si>
  <si>
    <t>CUST0148</t>
  </si>
  <si>
    <t>Fatima</t>
  </si>
  <si>
    <t>Pennington</t>
  </si>
  <si>
    <t>CUST0149</t>
  </si>
  <si>
    <t>CUST0150</t>
  </si>
  <si>
    <t>CUST0151</t>
  </si>
  <si>
    <t>CUST0152</t>
  </si>
  <si>
    <t>CUST0153</t>
  </si>
  <si>
    <t>Ortiz</t>
  </si>
  <si>
    <t>CUST0154</t>
  </si>
  <si>
    <t>CUST0155</t>
  </si>
  <si>
    <t>Michael</t>
  </si>
  <si>
    <t>CUST0156</t>
  </si>
  <si>
    <t>Holt</t>
  </si>
  <si>
    <t>CUST0157</t>
  </si>
  <si>
    <t>CUST0159</t>
  </si>
  <si>
    <t>Velez</t>
  </si>
  <si>
    <t>CUST0160</t>
  </si>
  <si>
    <t>Turner</t>
  </si>
  <si>
    <t>Niger</t>
  </si>
  <si>
    <t>CUST0161</t>
  </si>
  <si>
    <t>CUST0162</t>
  </si>
  <si>
    <t>Rivas</t>
  </si>
  <si>
    <t>CUST0163</t>
  </si>
  <si>
    <t>Omamuzo</t>
  </si>
  <si>
    <t>Guerrero</t>
  </si>
  <si>
    <t>CUST0164</t>
  </si>
  <si>
    <t>CUST0165</t>
  </si>
  <si>
    <t>Poor Customer Service</t>
  </si>
  <si>
    <t>CUST0166</t>
  </si>
  <si>
    <t>CUST0167</t>
  </si>
  <si>
    <t>Schultz</t>
  </si>
  <si>
    <t>CUST0168</t>
  </si>
  <si>
    <t>CUST0169</t>
  </si>
  <si>
    <t>CUST0170</t>
  </si>
  <si>
    <t>John</t>
  </si>
  <si>
    <t>Montoya</t>
  </si>
  <si>
    <t>CUST0171</t>
  </si>
  <si>
    <t>CUST0172</t>
  </si>
  <si>
    <t>Fox</t>
  </si>
  <si>
    <t>CUST0173</t>
  </si>
  <si>
    <t>CUST0174</t>
  </si>
  <si>
    <t>CUST0175</t>
  </si>
  <si>
    <t>Burke</t>
  </si>
  <si>
    <t>CUST0176</t>
  </si>
  <si>
    <t>Webb</t>
  </si>
  <si>
    <t>CUST0177</t>
  </si>
  <si>
    <t>Tucker</t>
  </si>
  <si>
    <t>CUST0178</t>
  </si>
  <si>
    <t>CUST0179</t>
  </si>
  <si>
    <t>CUST0180</t>
  </si>
  <si>
    <t>Sarah</t>
  </si>
  <si>
    <t>James</t>
  </si>
  <si>
    <t>CUST0181</t>
  </si>
  <si>
    <t>CUST0182</t>
  </si>
  <si>
    <t>CUST0183</t>
  </si>
  <si>
    <t>CUST0184</t>
  </si>
  <si>
    <t>CUST0185</t>
  </si>
  <si>
    <t>Perez</t>
  </si>
  <si>
    <t>High Call Tarriffs</t>
  </si>
  <si>
    <t>CUST0186</t>
  </si>
  <si>
    <t>Murray</t>
  </si>
  <si>
    <t>CUST0187</t>
  </si>
  <si>
    <t>CUST0188</t>
  </si>
  <si>
    <t>Gonzalez</t>
  </si>
  <si>
    <t>CUST0189</t>
  </si>
  <si>
    <t>CUST0190</t>
  </si>
  <si>
    <t>CUST0191</t>
  </si>
  <si>
    <t>CUST0192</t>
  </si>
  <si>
    <t>CUST0193</t>
  </si>
  <si>
    <t>Bola</t>
  </si>
  <si>
    <t>CUST0194</t>
  </si>
  <si>
    <t>CUST0195</t>
  </si>
  <si>
    <t>CUST0196</t>
  </si>
  <si>
    <t>Burns</t>
  </si>
  <si>
    <t>CUST0197</t>
  </si>
  <si>
    <t>Barrera</t>
  </si>
  <si>
    <t>CUST0198</t>
  </si>
  <si>
    <t>CUST0199</t>
  </si>
  <si>
    <t>CUST0200</t>
  </si>
  <si>
    <t>Fischer</t>
  </si>
  <si>
    <t>Katsina</t>
  </si>
  <si>
    <t>CUST0201</t>
  </si>
  <si>
    <t>CUST0202</t>
  </si>
  <si>
    <t>Garcia</t>
  </si>
  <si>
    <t>CUST0203</t>
  </si>
  <si>
    <t>CUST0204</t>
  </si>
  <si>
    <t>Holmes</t>
  </si>
  <si>
    <t>CUST0205</t>
  </si>
  <si>
    <t>CUST0206</t>
  </si>
  <si>
    <t>CUST0207</t>
  </si>
  <si>
    <t>Rogers</t>
  </si>
  <si>
    <t>CUST0208</t>
  </si>
  <si>
    <t>Rose</t>
  </si>
  <si>
    <t>CUST0209</t>
  </si>
  <si>
    <t>CUST0210</t>
  </si>
  <si>
    <t>Bates</t>
  </si>
  <si>
    <t>CUST0211</t>
  </si>
  <si>
    <t>Richards</t>
  </si>
  <si>
    <t>CUST0212</t>
  </si>
  <si>
    <t>CUST0213</t>
  </si>
  <si>
    <t>Blevins</t>
  </si>
  <si>
    <t>CUST0214</t>
  </si>
  <si>
    <t>CUST0215</t>
  </si>
  <si>
    <t>CUST0216</t>
  </si>
  <si>
    <t>CUST0217</t>
  </si>
  <si>
    <t>CUST0218</t>
  </si>
  <si>
    <t>CUST0219</t>
  </si>
  <si>
    <t>CUST0220</t>
  </si>
  <si>
    <t>Todd</t>
  </si>
  <si>
    <t>CUST0221</t>
  </si>
  <si>
    <t>CUST0222</t>
  </si>
  <si>
    <t>CUST0223</t>
  </si>
  <si>
    <t>Sade</t>
  </si>
  <si>
    <t>Collins</t>
  </si>
  <si>
    <t>CUST0224</t>
  </si>
  <si>
    <t>CUST0225</t>
  </si>
  <si>
    <t>CUST0226</t>
  </si>
  <si>
    <t>CUST0227</t>
  </si>
  <si>
    <t>CUST0228</t>
  </si>
  <si>
    <t>Lindsey</t>
  </si>
  <si>
    <t>CUST0229</t>
  </si>
  <si>
    <t>CUST0230</t>
  </si>
  <si>
    <t>CUST0231</t>
  </si>
  <si>
    <t>CUST0232</t>
  </si>
  <si>
    <t>CUST0233</t>
  </si>
  <si>
    <t>CUST0234</t>
  </si>
  <si>
    <t>Fowler</t>
  </si>
  <si>
    <t>CUST0235</t>
  </si>
  <si>
    <t>CUST0236</t>
  </si>
  <si>
    <t>Chen</t>
  </si>
  <si>
    <t>CUST0237</t>
  </si>
  <si>
    <t>CUST0238</t>
  </si>
  <si>
    <t>Nguyen</t>
  </si>
  <si>
    <t>CUST0239</t>
  </si>
  <si>
    <t>CUST0240</t>
  </si>
  <si>
    <t>Aguilar</t>
  </si>
  <si>
    <t>CUST0241</t>
  </si>
  <si>
    <t>CUST0242</t>
  </si>
  <si>
    <t>CUST0243</t>
  </si>
  <si>
    <t>Ware</t>
  </si>
  <si>
    <t>CUST0244</t>
  </si>
  <si>
    <t>Clayton</t>
  </si>
  <si>
    <t>CUST0245</t>
  </si>
  <si>
    <t>CUST0246</t>
  </si>
  <si>
    <t>CUST0247</t>
  </si>
  <si>
    <t>CUST0248</t>
  </si>
  <si>
    <t>CUST0249</t>
  </si>
  <si>
    <t>CUST0250</t>
  </si>
  <si>
    <t>Lee</t>
  </si>
  <si>
    <t>CUST0251</t>
  </si>
  <si>
    <t>CUST0252</t>
  </si>
  <si>
    <t>Greer</t>
  </si>
  <si>
    <t>CUST0253</t>
  </si>
  <si>
    <t>CUST0254</t>
  </si>
  <si>
    <t>CUST0255</t>
  </si>
  <si>
    <t>Funke</t>
  </si>
  <si>
    <t>Hart</t>
  </si>
  <si>
    <t>CUST0256</t>
  </si>
  <si>
    <t>CUST0257</t>
  </si>
  <si>
    <t>CUST0258</t>
  </si>
  <si>
    <t>Yang</t>
  </si>
  <si>
    <t>CUST0259</t>
  </si>
  <si>
    <t>CUST0260</t>
  </si>
  <si>
    <t>Cooper</t>
  </si>
  <si>
    <t>CUST0261</t>
  </si>
  <si>
    <t>Branch</t>
  </si>
  <si>
    <t>CUST0262</t>
  </si>
  <si>
    <t>CUST0263</t>
  </si>
  <si>
    <t>CUST0264</t>
  </si>
  <si>
    <t>Hill</t>
  </si>
  <si>
    <t>CUST0265</t>
  </si>
  <si>
    <t>CUST0266</t>
  </si>
  <si>
    <t>Singh</t>
  </si>
  <si>
    <t>CUST0267</t>
  </si>
  <si>
    <t>CUST0268</t>
  </si>
  <si>
    <t>CUST0269</t>
  </si>
  <si>
    <t>CUST0270</t>
  </si>
  <si>
    <t>Vang</t>
  </si>
  <si>
    <t>CUST0271</t>
  </si>
  <si>
    <t>Faulkner</t>
  </si>
  <si>
    <t>CUST0272</t>
  </si>
  <si>
    <t>Hood</t>
  </si>
  <si>
    <t>CUST0273</t>
  </si>
  <si>
    <t>CUST0274</t>
  </si>
  <si>
    <t>Brooks</t>
  </si>
  <si>
    <t>CUST0275</t>
  </si>
  <si>
    <t>CUST0276</t>
  </si>
  <si>
    <t>CUST0277</t>
  </si>
  <si>
    <t>Wheeler</t>
  </si>
  <si>
    <t>CUST0278</t>
  </si>
  <si>
    <t>CUST0279</t>
  </si>
  <si>
    <t>CUST0280</t>
  </si>
  <si>
    <t>Valencia</t>
  </si>
  <si>
    <t>CUST0281</t>
  </si>
  <si>
    <t>CUST0282</t>
  </si>
  <si>
    <t>Boyd</t>
  </si>
  <si>
    <t>CUST0283</t>
  </si>
  <si>
    <t>CUST0284</t>
  </si>
  <si>
    <t>Martinez</t>
  </si>
  <si>
    <t>CUST0285</t>
  </si>
  <si>
    <t>Finley</t>
  </si>
  <si>
    <t>CUST0286</t>
  </si>
  <si>
    <t>CUST0287</t>
  </si>
  <si>
    <t>CUST0288</t>
  </si>
  <si>
    <t>Levine</t>
  </si>
  <si>
    <t>CUST0289</t>
  </si>
  <si>
    <t>CUST0290</t>
  </si>
  <si>
    <t>Roman</t>
  </si>
  <si>
    <t>CUST0291</t>
  </si>
  <si>
    <t>Mendez</t>
  </si>
  <si>
    <t>CUST0292</t>
  </si>
  <si>
    <t>CUST0293</t>
  </si>
  <si>
    <t>CUST0294</t>
  </si>
  <si>
    <t>CUST0295</t>
  </si>
  <si>
    <t>CUST0296</t>
  </si>
  <si>
    <t>CUST0297</t>
  </si>
  <si>
    <t>CUST0298</t>
  </si>
  <si>
    <t>Miller</t>
  </si>
  <si>
    <t>CUST0299</t>
  </si>
  <si>
    <t>CUST0300</t>
  </si>
  <si>
    <t>CUST0301</t>
  </si>
  <si>
    <t>CUST0302</t>
  </si>
  <si>
    <t>CUST0303</t>
  </si>
  <si>
    <t>Jimenez</t>
  </si>
  <si>
    <t>CUST0304</t>
  </si>
  <si>
    <t>CUST0305</t>
  </si>
  <si>
    <t>Nielsen</t>
  </si>
  <si>
    <t>CUST0306</t>
  </si>
  <si>
    <t>CUST0307</t>
  </si>
  <si>
    <t>Diaz</t>
  </si>
  <si>
    <t>CUST0308</t>
  </si>
  <si>
    <t>Wilson</t>
  </si>
  <si>
    <t>CUST0309</t>
  </si>
  <si>
    <t>CUST0310</t>
  </si>
  <si>
    <t>CUST0311</t>
  </si>
  <si>
    <t>Gallegos</t>
  </si>
  <si>
    <t>CUST0312</t>
  </si>
  <si>
    <t>CUST0313</t>
  </si>
  <si>
    <t>Jackson</t>
  </si>
  <si>
    <t>CUST0314</t>
  </si>
  <si>
    <t>CUST0315</t>
  </si>
  <si>
    <t>CUST0316</t>
  </si>
  <si>
    <t>CUST0317</t>
  </si>
  <si>
    <t>Allison</t>
  </si>
  <si>
    <t>CUST0318</t>
  </si>
  <si>
    <t>CUST0319</t>
  </si>
  <si>
    <t>CUST0320</t>
  </si>
  <si>
    <t>Suarez</t>
  </si>
  <si>
    <t>CUST0321</t>
  </si>
  <si>
    <t>CUST0322</t>
  </si>
  <si>
    <t>CUST0323</t>
  </si>
  <si>
    <t>Thomas</t>
  </si>
  <si>
    <t>CUST0324</t>
  </si>
  <si>
    <t>CUST0325</t>
  </si>
  <si>
    <t>Weiss</t>
  </si>
  <si>
    <t>CUST0326</t>
  </si>
  <si>
    <t>CUST0327</t>
  </si>
  <si>
    <t>Dean</t>
  </si>
  <si>
    <t>CUST0328</t>
  </si>
  <si>
    <t>CUST0329</t>
  </si>
  <si>
    <t>CUST0330</t>
  </si>
  <si>
    <t>Whitaker</t>
  </si>
  <si>
    <t>CUST0331</t>
  </si>
  <si>
    <t>CUST0332</t>
  </si>
  <si>
    <t>Dixon</t>
  </si>
  <si>
    <t>CUST0333</t>
  </si>
  <si>
    <t>CUST0334</t>
  </si>
  <si>
    <t>CUST0335</t>
  </si>
  <si>
    <t>CUST0336</t>
  </si>
  <si>
    <t>Soto</t>
  </si>
  <si>
    <t>CUST0337</t>
  </si>
  <si>
    <t>Jones</t>
  </si>
  <si>
    <t>CUST0338</t>
  </si>
  <si>
    <t>CUST0339</t>
  </si>
  <si>
    <t>Patton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</si>
  <si>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</si>
  <si>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</si>
  <si>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</si>
  <si>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</si>
  <si>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</si>
  <si>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</si>
  <si>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</si>
  <si>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</si>
  <si>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</si>
  <si>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</si>
  <si>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</si>
  <si>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Curtis</t>
  </si>
  <si>
    <t>CUST0351</t>
  </si>
  <si>
    <t>CUST0352</t>
  </si>
  <si>
    <t>CUST0353</t>
  </si>
  <si>
    <t>Haley</t>
  </si>
  <si>
    <t>CUST0354</t>
  </si>
  <si>
    <t>CUST0355</t>
  </si>
  <si>
    <t>Lagos</t>
  </si>
  <si>
    <t>CUST0356</t>
  </si>
  <si>
    <t>CUST0357</t>
  </si>
  <si>
    <t>CUST0358</t>
  </si>
  <si>
    <t>Mills</t>
  </si>
  <si>
    <t>CUST0359</t>
  </si>
  <si>
    <t>CUST0360</t>
  </si>
  <si>
    <t>CUST0361</t>
  </si>
  <si>
    <t>CUST0362</t>
  </si>
  <si>
    <t>CUST0363</t>
  </si>
  <si>
    <t>CUST0364</t>
  </si>
  <si>
    <t>CUST0365</t>
  </si>
  <si>
    <t>Young</t>
  </si>
  <si>
    <t>CUST0366</t>
  </si>
  <si>
    <t>Harrison</t>
  </si>
  <si>
    <t>CUST0367</t>
  </si>
  <si>
    <t>CUST0368</t>
  </si>
  <si>
    <t>Cruz</t>
  </si>
  <si>
    <t>CUST0369</t>
  </si>
  <si>
    <t>CUST0370</t>
  </si>
  <si>
    <t>CUST0371</t>
  </si>
  <si>
    <t>CUST0372</t>
  </si>
  <si>
    <t>CUST0373</t>
  </si>
  <si>
    <t>CUST0374</t>
  </si>
  <si>
    <t>CUST0375</t>
  </si>
  <si>
    <t>Meyer</t>
  </si>
  <si>
    <t>CUST0376</t>
  </si>
  <si>
    <t>CUST0377</t>
  </si>
  <si>
    <t>CUST0378</t>
  </si>
  <si>
    <t>Schroeder</t>
  </si>
  <si>
    <t>CUST0379</t>
  </si>
  <si>
    <t>CUST0380</t>
  </si>
  <si>
    <t>Dunn</t>
  </si>
  <si>
    <t>CUST0381</t>
  </si>
  <si>
    <t>CUST0382</t>
  </si>
  <si>
    <t>Munoz</t>
  </si>
  <si>
    <t>CUST0383</t>
  </si>
  <si>
    <t>CUST0384</t>
  </si>
  <si>
    <t>CUST0385</t>
  </si>
  <si>
    <t>CUST0386</t>
  </si>
  <si>
    <t>CUST0387</t>
  </si>
  <si>
    <t>Murphy</t>
  </si>
  <si>
    <t>CUST0388</t>
  </si>
  <si>
    <t>CUST0389</t>
  </si>
  <si>
    <t>CUST0390</t>
  </si>
  <si>
    <t>Morales</t>
  </si>
  <si>
    <t>CUST0391</t>
  </si>
  <si>
    <t>CUST0392</t>
  </si>
  <si>
    <t>CUST0393</t>
  </si>
  <si>
    <t>Mcgrath</t>
  </si>
  <si>
    <t>CUST0394</t>
  </si>
  <si>
    <t>CUST0395</t>
  </si>
  <si>
    <t>Hays</t>
  </si>
  <si>
    <t>CUST0396</t>
  </si>
  <si>
    <t>CUST0397</t>
  </si>
  <si>
    <t>Castro</t>
  </si>
  <si>
    <t>CUST0398</t>
  </si>
  <si>
    <t>CUST0399</t>
  </si>
  <si>
    <t>Patterson</t>
  </si>
  <si>
    <t>CUST0400</t>
  </si>
  <si>
    <t>CUST0401</t>
  </si>
  <si>
    <t>CUST0402</t>
  </si>
  <si>
    <t>Wood</t>
  </si>
  <si>
    <t>CUST0403</t>
  </si>
  <si>
    <t>CUST0404</t>
  </si>
  <si>
    <t>CUST0405</t>
  </si>
  <si>
    <t>Acevedo</t>
  </si>
  <si>
    <t>CUST0406</t>
  </si>
  <si>
    <t>CUST0407</t>
  </si>
  <si>
    <t>CUST0408</t>
  </si>
  <si>
    <t>Bird</t>
  </si>
  <si>
    <t>CUST0409</t>
  </si>
  <si>
    <t>Gill</t>
  </si>
  <si>
    <t>CUST0410</t>
  </si>
  <si>
    <t>Clay</t>
  </si>
  <si>
    <t>CUST0411</t>
  </si>
  <si>
    <t>CUST0412</t>
  </si>
  <si>
    <t>CUST0413</t>
  </si>
  <si>
    <t>CUST0414</t>
  </si>
  <si>
    <t>Clark</t>
  </si>
  <si>
    <t>CUST0415</t>
  </si>
  <si>
    <t>CUST0416</t>
  </si>
  <si>
    <t>CUST0417</t>
  </si>
  <si>
    <t>CUST0418</t>
  </si>
  <si>
    <t>Figueroa</t>
  </si>
  <si>
    <t>CUST0419</t>
  </si>
  <si>
    <t>CUST0420</t>
  </si>
  <si>
    <t>CUST0421</t>
  </si>
  <si>
    <t>Erickson</t>
  </si>
  <si>
    <t>CUST0422</t>
  </si>
  <si>
    <t>CUST0423</t>
  </si>
  <si>
    <t>CUST0424</t>
  </si>
  <si>
    <t>CUST0425</t>
  </si>
  <si>
    <t>Dawson</t>
  </si>
  <si>
    <t>CUST0426</t>
  </si>
  <si>
    <t>Scott</t>
  </si>
  <si>
    <t>CUST0427</t>
  </si>
  <si>
    <t>CUST0428</t>
  </si>
  <si>
    <t>CUST0429</t>
  </si>
  <si>
    <t>CUST0430</t>
  </si>
  <si>
    <t>Cochran</t>
  </si>
  <si>
    <t>CUST0431</t>
  </si>
  <si>
    <t>Carpenter</t>
  </si>
  <si>
    <t>CUST0432</t>
  </si>
  <si>
    <t>Howell</t>
  </si>
  <si>
    <t>CUST0433</t>
  </si>
  <si>
    <t>CUST0434</t>
  </si>
  <si>
    <t>Cummings</t>
  </si>
  <si>
    <t>CUST0435</t>
  </si>
  <si>
    <t>CUST0436</t>
  </si>
  <si>
    <t>CUST0437</t>
  </si>
  <si>
    <t>CUST0438</t>
  </si>
  <si>
    <t>CUST0439</t>
  </si>
  <si>
    <t>CUST0440</t>
  </si>
  <si>
    <t>CUST0441</t>
  </si>
  <si>
    <t>Fuller</t>
  </si>
  <si>
    <t>CUST0442</t>
  </si>
  <si>
    <t>CUST0443</t>
  </si>
  <si>
    <t>CUST0444</t>
  </si>
  <si>
    <t>Edwards</t>
  </si>
  <si>
    <t>CUST0445</t>
  </si>
  <si>
    <t>Pierce</t>
  </si>
  <si>
    <t>CUST0446</t>
  </si>
  <si>
    <t>CUST0447</t>
  </si>
  <si>
    <t>CUST0448</t>
  </si>
  <si>
    <t>CUST0449</t>
  </si>
  <si>
    <t>CUST0450</t>
  </si>
  <si>
    <t>CUST0451</t>
  </si>
  <si>
    <t>Hughes</t>
  </si>
  <si>
    <t>CUST0452</t>
  </si>
  <si>
    <t>Benjamin</t>
  </si>
  <si>
    <t>CUST0453</t>
  </si>
  <si>
    <t>CUST0454</t>
  </si>
  <si>
    <t>CUST0455</t>
  </si>
  <si>
    <t>Hardin</t>
  </si>
  <si>
    <t>CUST0456</t>
  </si>
  <si>
    <t>Savage</t>
  </si>
  <si>
    <t>CUST0457</t>
  </si>
  <si>
    <t>CUST0458</t>
  </si>
  <si>
    <t>CUST0460</t>
  </si>
  <si>
    <t>Stephenson</t>
  </si>
  <si>
    <t>CUST0461</t>
  </si>
  <si>
    <t>Moore</t>
  </si>
  <si>
    <t>CUST0462</t>
  </si>
  <si>
    <t>Patel</t>
  </si>
  <si>
    <t>CUST0463</t>
  </si>
  <si>
    <t>CUST0464</t>
  </si>
  <si>
    <t>CUST0465</t>
  </si>
  <si>
    <t>CUST0466</t>
  </si>
  <si>
    <t>Roberts</t>
  </si>
  <si>
    <t>CUST0467</t>
  </si>
  <si>
    <t>CUST0468</t>
  </si>
  <si>
    <t>CUST0469</t>
  </si>
  <si>
    <t>Calhoun</t>
  </si>
  <si>
    <t>CUST0470</t>
  </si>
  <si>
    <t>CUST0471</t>
  </si>
  <si>
    <t>CUST0472</t>
  </si>
  <si>
    <t>CUST0473</t>
  </si>
  <si>
    <t>CUST0474</t>
  </si>
  <si>
    <t>CUST0475</t>
  </si>
  <si>
    <t>Elliott</t>
  </si>
  <si>
    <t>CUST0476</t>
  </si>
  <si>
    <t>Austin</t>
  </si>
  <si>
    <t>CUST0478</t>
  </si>
  <si>
    <t>CUST0479</t>
  </si>
  <si>
    <t>CUST0480</t>
  </si>
  <si>
    <t>Foster</t>
  </si>
  <si>
    <t>CUST0481</t>
  </si>
  <si>
    <t>Yates</t>
  </si>
  <si>
    <t>CUST0482</t>
  </si>
  <si>
    <t>Peterson</t>
  </si>
  <si>
    <t>CUST0484</t>
  </si>
  <si>
    <t>CUST0485</t>
  </si>
  <si>
    <t>CUST0486</t>
  </si>
  <si>
    <t>CUST0487</t>
  </si>
  <si>
    <t>CUST0488</t>
  </si>
  <si>
    <t>CUST0489</t>
  </si>
  <si>
    <t>Lawrence</t>
  </si>
  <si>
    <t>CUST0490</t>
  </si>
  <si>
    <t>CUST0491</t>
  </si>
  <si>
    <t>CUST0492</t>
  </si>
  <si>
    <t>Nicholson</t>
  </si>
  <si>
    <t>CUST0493</t>
  </si>
  <si>
    <t>CUST0494</t>
  </si>
  <si>
    <t>Graham</t>
  </si>
  <si>
    <t>CUST0495</t>
  </si>
  <si>
    <t>CUST0496</t>
  </si>
  <si>
    <t>Blackwell</t>
  </si>
  <si>
    <t>CUST0497</t>
  </si>
  <si>
    <t>CUST0498</t>
  </si>
  <si>
    <t>Rodriguez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</si>
  <si>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</si>
  <si>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</si>
  <si>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</si>
  <si>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</si>
  <si>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</si>
  <si>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</si>
  <si>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</si>
  <si>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</si>
  <si>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</si>
  <si>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</si>
  <si>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</si>
  <si>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</si>
  <si>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</si>
  <si>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</si>
  <si>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Johns</t>
  </si>
  <si>
    <t>CUST0513</t>
  </si>
  <si>
    <t>CUST0514</t>
  </si>
  <si>
    <t>CUST0515</t>
  </si>
  <si>
    <t>Simon</t>
  </si>
  <si>
    <t>CUST0516</t>
  </si>
  <si>
    <t>Alexander</t>
  </si>
  <si>
    <t>CUST0517</t>
  </si>
  <si>
    <t>CUST0518</t>
  </si>
  <si>
    <t>CUST0519</t>
  </si>
  <si>
    <t>Fritz</t>
  </si>
  <si>
    <t>CUST0520</t>
  </si>
  <si>
    <t>CUST0521</t>
  </si>
  <si>
    <t>CUST0522</t>
  </si>
  <si>
    <t>CUST0523</t>
  </si>
  <si>
    <t>CUST0524</t>
  </si>
  <si>
    <t>CUST0525</t>
  </si>
  <si>
    <t>CUST0526</t>
  </si>
  <si>
    <t>Hunter</t>
  </si>
  <si>
    <t>CUST0527</t>
  </si>
  <si>
    <t>CUST0528</t>
  </si>
  <si>
    <t>CUST0529</t>
  </si>
  <si>
    <t>Mendoza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</si>
  <si>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</si>
  <si>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</si>
  <si>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</si>
  <si>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</si>
  <si>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</si>
  <si>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</si>
  <si>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</si>
  <si>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</si>
  <si>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</si>
  <si>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Benson</t>
  </si>
  <si>
    <t>CUST0539</t>
  </si>
  <si>
    <t>CUST0540</t>
  </si>
  <si>
    <t>CUST0541</t>
  </si>
  <si>
    <t>CUST0542</t>
  </si>
  <si>
    <t>CUST0543</t>
  </si>
  <si>
    <t>Duffy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</si>
  <si>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</si>
  <si>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</si>
  <si>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</si>
  <si>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</si>
  <si>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</si>
  <si>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</si>
  <si>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</si>
  <si>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</si>
  <si>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</si>
  <si>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Carlson</t>
  </si>
  <si>
    <t>CUST0553</t>
  </si>
  <si>
    <t>CUST0554</t>
  </si>
  <si>
    <t>Brock</t>
  </si>
  <si>
    <t>CUST0555</t>
  </si>
  <si>
    <t>CUST0556</t>
  </si>
  <si>
    <t>CUST0557</t>
  </si>
  <si>
    <t>Chavez</t>
  </si>
  <si>
    <t>CUST0558</t>
  </si>
  <si>
    <t>CUST0559</t>
  </si>
  <si>
    <t>CUST0560</t>
  </si>
  <si>
    <t>Ballard</t>
  </si>
  <si>
    <t>CUST0561</t>
  </si>
  <si>
    <t>CUST0562</t>
  </si>
  <si>
    <t>Shaffer</t>
  </si>
  <si>
    <t>CUST0563</t>
  </si>
  <si>
    <t>CUST0564</t>
  </si>
  <si>
    <t>CUST0565</t>
  </si>
  <si>
    <t>Gates</t>
  </si>
  <si>
    <t>CUST0566</t>
  </si>
  <si>
    <t>CUST0567</t>
  </si>
  <si>
    <t>George</t>
  </si>
  <si>
    <t>CUST0568</t>
  </si>
  <si>
    <t>CUST0569</t>
  </si>
  <si>
    <t>Rivera</t>
  </si>
  <si>
    <t>CUST0570</t>
  </si>
  <si>
    <t>CUST0571</t>
  </si>
  <si>
    <t>CUST0572</t>
  </si>
  <si>
    <t>Chaney</t>
  </si>
  <si>
    <t>CUST0573</t>
  </si>
  <si>
    <t>CUST0574</t>
  </si>
  <si>
    <t>CUST0575</t>
  </si>
  <si>
    <t>Ryan</t>
  </si>
  <si>
    <t>CUST0576</t>
  </si>
  <si>
    <t>CUST0577</t>
  </si>
  <si>
    <t>Mahoney</t>
  </si>
  <si>
    <t>CUST0578</t>
  </si>
  <si>
    <t>CUST0579</t>
  </si>
  <si>
    <t>CUST0580</t>
  </si>
  <si>
    <t>CUST0581</t>
  </si>
  <si>
    <t>CUST0582</t>
  </si>
  <si>
    <t>CUST0583</t>
  </si>
  <si>
    <t>Bailey</t>
  </si>
  <si>
    <t>CUST0584</t>
  </si>
  <si>
    <t>CUST0585</t>
  </si>
  <si>
    <t>Higgins</t>
  </si>
  <si>
    <t>CUST0586</t>
  </si>
  <si>
    <t>CUST0587</t>
  </si>
  <si>
    <t>CUST0588</t>
  </si>
  <si>
    <t>CUST0589</t>
  </si>
  <si>
    <t>Spencer</t>
  </si>
  <si>
    <t>CUST0590</t>
  </si>
  <si>
    <t>CUST0591</t>
  </si>
  <si>
    <t>CUST0592</t>
  </si>
  <si>
    <t>CUST0593</t>
  </si>
  <si>
    <t>CUST0594</t>
  </si>
  <si>
    <t>Wilkerson</t>
  </si>
  <si>
    <t>CUST0595</t>
  </si>
  <si>
    <t>CUST0596</t>
  </si>
  <si>
    <t>CUST0597</t>
  </si>
  <si>
    <t>Knight</t>
  </si>
  <si>
    <t>CUST0598</t>
  </si>
  <si>
    <t>CUST0599</t>
  </si>
  <si>
    <t>Wallace</t>
  </si>
  <si>
    <t>CUST0600</t>
  </si>
  <si>
    <t>CUST0601</t>
  </si>
  <si>
    <t>CUST0602</t>
  </si>
  <si>
    <t>CUST0603</t>
  </si>
  <si>
    <t>CUST0604</t>
  </si>
  <si>
    <t>CUST0605</t>
  </si>
  <si>
    <t>Shepard</t>
  </si>
  <si>
    <t>CUST0606</t>
  </si>
  <si>
    <t>Cortez</t>
  </si>
  <si>
    <t>CUST0607</t>
  </si>
  <si>
    <t>CUST0608</t>
  </si>
  <si>
    <t>CUST0609</t>
  </si>
  <si>
    <t>CUST0610</t>
  </si>
  <si>
    <t>CUST0611</t>
  </si>
  <si>
    <t>Guerra</t>
  </si>
  <si>
    <t>CUST0612</t>
  </si>
  <si>
    <t>CUST0613</t>
  </si>
  <si>
    <t>Freeman</t>
  </si>
  <si>
    <t>CUST0614</t>
  </si>
  <si>
    <t>CUST0615</t>
  </si>
  <si>
    <t>CUST0616</t>
  </si>
  <si>
    <t>Barker</t>
  </si>
  <si>
    <t>CUST0617</t>
  </si>
  <si>
    <t>CUST0618</t>
  </si>
  <si>
    <t>CUST0619</t>
  </si>
  <si>
    <t>CUST0620</t>
  </si>
  <si>
    <t>CUST0621</t>
  </si>
  <si>
    <t>King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</si>
  <si>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</si>
  <si>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</si>
  <si>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</si>
  <si>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</si>
  <si>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</si>
  <si>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</si>
  <si>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</si>
  <si>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</si>
  <si>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</si>
  <si>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Powell</t>
  </si>
  <si>
    <t>CUST0631</t>
  </si>
  <si>
    <t>CUST0632</t>
  </si>
  <si>
    <t>Schwartz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</si>
  <si>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</si>
  <si>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</si>
  <si>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</si>
  <si>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</si>
  <si>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</si>
  <si>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</si>
  <si>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</si>
  <si>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</si>
  <si>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</si>
  <si>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Krueger</t>
  </si>
  <si>
    <t>CUST0642</t>
  </si>
  <si>
    <t>Rhodes</t>
  </si>
  <si>
    <t>CUST0643</t>
  </si>
  <si>
    <t>CUST0644</t>
  </si>
  <si>
    <t>CUST0645</t>
  </si>
  <si>
    <t>Liu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</si>
  <si>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</si>
  <si>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</si>
  <si>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</si>
  <si>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</si>
  <si>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</si>
  <si>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</si>
  <si>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</si>
  <si>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</si>
  <si>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</si>
  <si>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Francis</t>
  </si>
  <si>
    <t>CUST0655</t>
  </si>
  <si>
    <t>Ward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</si>
  <si>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</si>
  <si>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</si>
  <si>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</si>
  <si>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</si>
  <si>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</si>
  <si>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</si>
  <si>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</si>
  <si>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</si>
  <si>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</si>
  <si>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Reynolds</t>
  </si>
  <si>
    <t>CUST0665</t>
  </si>
  <si>
    <t>CUST0666</t>
  </si>
  <si>
    <t>Cunningham</t>
  </si>
  <si>
    <t>CUST0667</t>
  </si>
  <si>
    <t>CUST0668</t>
  </si>
  <si>
    <t>CUST0669</t>
  </si>
  <si>
    <t>Crosby</t>
  </si>
  <si>
    <t>CUST0670</t>
  </si>
  <si>
    <t>CUST0671</t>
  </si>
  <si>
    <t>CUST0672</t>
  </si>
  <si>
    <t>CUST0673</t>
  </si>
  <si>
    <t>Valenzuela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</si>
  <si>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</si>
  <si>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</si>
  <si>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</si>
  <si>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</si>
  <si>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</si>
  <si>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</si>
  <si>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</si>
  <si>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</si>
  <si>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</si>
  <si>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</si>
  <si>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Mercer</t>
  </si>
  <si>
    <t>CUST0684</t>
  </si>
  <si>
    <t>Harper</t>
  </si>
  <si>
    <t>CUST0685</t>
  </si>
  <si>
    <t>Mcknight</t>
  </si>
  <si>
    <t>CUST0686</t>
  </si>
  <si>
    <t>CUST0687</t>
  </si>
  <si>
    <t>CUST0688</t>
  </si>
  <si>
    <t>CUST0689</t>
  </si>
  <si>
    <t>CUST0690</t>
  </si>
  <si>
    <t>Compton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</si>
  <si>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</si>
  <si>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</si>
  <si>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</si>
  <si>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</si>
  <si>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</si>
  <si>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</si>
  <si>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</si>
  <si>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</si>
  <si>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</si>
  <si>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</si>
  <si>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</si>
  <si>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</si>
  <si>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</si>
  <si>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Martin</t>
  </si>
  <si>
    <t>CUST0704</t>
  </si>
  <si>
    <t>CUST0705</t>
  </si>
  <si>
    <t>CUST0706</t>
  </si>
  <si>
    <t>Gibson</t>
  </si>
  <si>
    <t>CUST0707</t>
  </si>
  <si>
    <t>Winters</t>
  </si>
  <si>
    <t>CUST0708</t>
  </si>
  <si>
    <t>CUST0709</t>
  </si>
  <si>
    <t>CUST0710</t>
  </si>
  <si>
    <t>CUST0711</t>
  </si>
  <si>
    <t>Juarez</t>
  </si>
  <si>
    <t>CUST0712</t>
  </si>
  <si>
    <t>CUST0713</t>
  </si>
  <si>
    <t>CUST0714</t>
  </si>
  <si>
    <t>CUST0715</t>
  </si>
  <si>
    <t>Andrews</t>
  </si>
  <si>
    <t>CUST0716</t>
  </si>
  <si>
    <t>CUST0717</t>
  </si>
  <si>
    <t>CUST0718</t>
  </si>
  <si>
    <t>Donaldson</t>
  </si>
  <si>
    <t>CUST0719</t>
  </si>
  <si>
    <t>CUST0720</t>
  </si>
  <si>
    <t>Harmon</t>
  </si>
  <si>
    <t>CUST0721</t>
  </si>
  <si>
    <t>CUST0722</t>
  </si>
  <si>
    <t>CUST0723</t>
  </si>
  <si>
    <t>Myers</t>
  </si>
  <si>
    <t>CUST0724</t>
  </si>
  <si>
    <t>CUST0725</t>
  </si>
  <si>
    <t>CUST0726</t>
  </si>
  <si>
    <t>Brady</t>
  </si>
  <si>
    <t>CUST0727</t>
  </si>
  <si>
    <t>CUST0728</t>
  </si>
  <si>
    <t>CUST0729</t>
  </si>
  <si>
    <t>Meadows</t>
  </si>
  <si>
    <t>CUST0730</t>
  </si>
  <si>
    <t>CUST0731</t>
  </si>
  <si>
    <t>CUST0732</t>
  </si>
  <si>
    <t>Bush</t>
  </si>
  <si>
    <t>CUST0733</t>
  </si>
  <si>
    <t>CUST0734</t>
  </si>
  <si>
    <t>CUST0735</t>
  </si>
  <si>
    <t>CUST0736</t>
  </si>
  <si>
    <t>CUST0737</t>
  </si>
  <si>
    <t>Salas</t>
  </si>
  <si>
    <t>CUST0738</t>
  </si>
  <si>
    <t>CUST0739</t>
  </si>
  <si>
    <t>Adams</t>
  </si>
  <si>
    <t>CUST0740</t>
  </si>
  <si>
    <t>CUST0741</t>
  </si>
  <si>
    <t>CUST0742</t>
  </si>
  <si>
    <t>Oconnell</t>
  </si>
  <si>
    <t>CUST0743</t>
  </si>
  <si>
    <t>CUST0744</t>
  </si>
  <si>
    <t>CUST0745</t>
  </si>
  <si>
    <t>CUST0746</t>
  </si>
  <si>
    <t>CUST0747</t>
  </si>
  <si>
    <t>CUST0748</t>
  </si>
  <si>
    <t>CUST0749</t>
  </si>
  <si>
    <t>Woods</t>
  </si>
  <si>
    <t>CUST0750</t>
  </si>
  <si>
    <t>Jacobs</t>
  </si>
  <si>
    <t>CUST0751</t>
  </si>
  <si>
    <t>CUST0752</t>
  </si>
  <si>
    <t>CUST0753</t>
  </si>
  <si>
    <t>CUST0754</t>
  </si>
  <si>
    <t>CUST0755</t>
  </si>
  <si>
    <t>Manning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</si>
  <si>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</si>
  <si>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</si>
  <si>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</si>
  <si>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</si>
  <si>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</si>
  <si>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</si>
  <si>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</si>
  <si>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</si>
  <si>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</si>
  <si>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Torres</t>
  </si>
  <si>
    <t>CUST0765</t>
  </si>
  <si>
    <t>Walsh</t>
  </si>
  <si>
    <t>CUST0766</t>
  </si>
  <si>
    <t>CUST0767</t>
  </si>
  <si>
    <t>Cervantes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</si>
  <si>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</si>
  <si>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</si>
  <si>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</si>
  <si>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</si>
  <si>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</si>
  <si>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</si>
  <si>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</si>
  <si>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</si>
  <si>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</si>
  <si>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</si>
  <si>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</si>
  <si>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</si>
  <si>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</si>
  <si>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Pacheco</t>
  </si>
  <si>
    <t>CUST0781</t>
  </si>
  <si>
    <t>CUST0782</t>
  </si>
  <si>
    <t>CUST0783</t>
  </si>
  <si>
    <t>CUST0784</t>
  </si>
  <si>
    <t>CUST0785</t>
  </si>
  <si>
    <t>Perry</t>
  </si>
  <si>
    <t>CUST0786</t>
  </si>
  <si>
    <t>Shannon</t>
  </si>
  <si>
    <t>CUST0787</t>
  </si>
  <si>
    <t>Delgado</t>
  </si>
  <si>
    <t>CUST0788</t>
  </si>
  <si>
    <t>Vincent</t>
  </si>
  <si>
    <t>CUST0789</t>
  </si>
  <si>
    <t>Adkins</t>
  </si>
  <si>
    <t>CUST0790</t>
  </si>
  <si>
    <t>CUST0791</t>
  </si>
  <si>
    <t>CUST0792</t>
  </si>
  <si>
    <t>Oconnor</t>
  </si>
  <si>
    <t>CUST0793</t>
  </si>
  <si>
    <t>CUST0794</t>
  </si>
  <si>
    <t>CUST0795</t>
  </si>
  <si>
    <t>CUST0796</t>
  </si>
  <si>
    <t>CUST0797</t>
  </si>
  <si>
    <t>Buck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</si>
  <si>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</si>
  <si>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</si>
  <si>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</si>
  <si>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</si>
  <si>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</si>
  <si>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</si>
  <si>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</si>
  <si>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</si>
  <si>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</si>
  <si>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Snyder</t>
  </si>
  <si>
    <t>CUST0807</t>
  </si>
  <si>
    <t>CUST0808</t>
  </si>
  <si>
    <t>CUST0809</t>
  </si>
  <si>
    <t>Lane</t>
  </si>
  <si>
    <t>CUST0810</t>
  </si>
  <si>
    <t>CUST0811</t>
  </si>
  <si>
    <t>Bartlett</t>
  </si>
  <si>
    <t>CUST0812</t>
  </si>
  <si>
    <t>Giles</t>
  </si>
  <si>
    <t>CUST0813</t>
  </si>
  <si>
    <t>CUST0814</t>
  </si>
  <si>
    <t>CUST0815</t>
  </si>
  <si>
    <t>CUST0816</t>
  </si>
  <si>
    <t>CUST0817</t>
  </si>
  <si>
    <t>Anthony</t>
  </si>
  <si>
    <t>CUST0818</t>
  </si>
  <si>
    <t>Blankenship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</si>
  <si>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</si>
  <si>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</si>
  <si>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</si>
  <si>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</si>
  <si>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</si>
  <si>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</si>
  <si>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</si>
  <si>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</si>
  <si>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</si>
  <si>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</si>
  <si>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</si>
  <si>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Stokes</t>
  </si>
  <si>
    <t>CUST0830</t>
  </si>
  <si>
    <t>CUST0831</t>
  </si>
  <si>
    <t>CUST0832</t>
  </si>
  <si>
    <t>CUST0833</t>
  </si>
  <si>
    <t>CUST0834</t>
  </si>
  <si>
    <t>Becker</t>
  </si>
  <si>
    <t>CUST0835</t>
  </si>
  <si>
    <t>CUST0836</t>
  </si>
  <si>
    <t>Ortega</t>
  </si>
  <si>
    <t>CUST0837</t>
  </si>
  <si>
    <t>CUST0838</t>
  </si>
  <si>
    <t>CUST0839</t>
  </si>
  <si>
    <t>Mathis</t>
  </si>
  <si>
    <t>CUST0840</t>
  </si>
  <si>
    <t>CUST0841</t>
  </si>
  <si>
    <t>CUST0842</t>
  </si>
  <si>
    <t>CUST0843</t>
  </si>
  <si>
    <t>CUST0844</t>
  </si>
  <si>
    <t>Skinner</t>
  </si>
  <si>
    <t>CUST0845</t>
  </si>
  <si>
    <t>CUST0846</t>
  </si>
  <si>
    <t>Lawson</t>
  </si>
  <si>
    <t>CUST0847</t>
  </si>
  <si>
    <t>CUST0848</t>
  </si>
  <si>
    <t>CUST0849</t>
  </si>
  <si>
    <t>CUST0850</t>
  </si>
  <si>
    <t>CUST0851</t>
  </si>
  <si>
    <t>CUST0852</t>
  </si>
  <si>
    <t>Espinoza</t>
  </si>
  <si>
    <t>CUST0853</t>
  </si>
  <si>
    <t>CUST0854</t>
  </si>
  <si>
    <t>CUST0855</t>
  </si>
  <si>
    <t>Whitehead</t>
  </si>
  <si>
    <t>CUST0856</t>
  </si>
  <si>
    <t>CUST0857</t>
  </si>
  <si>
    <t>CUST0858</t>
  </si>
  <si>
    <t>CUST0859</t>
  </si>
  <si>
    <t>CUST0860</t>
  </si>
  <si>
    <t>Santana</t>
  </si>
  <si>
    <t>CUST0861</t>
  </si>
  <si>
    <t>Bullock</t>
  </si>
  <si>
    <t>CUST0862</t>
  </si>
  <si>
    <t>CUST0863</t>
  </si>
  <si>
    <t>CUST0864</t>
  </si>
  <si>
    <t>Ramos</t>
  </si>
  <si>
    <t>CUST0865</t>
  </si>
  <si>
    <t>Zimmerman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</si>
  <si>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</si>
  <si>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</si>
  <si>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</si>
  <si>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</si>
  <si>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</si>
  <si>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</si>
  <si>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</si>
  <si>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</si>
  <si>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</si>
  <si>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Shah</t>
  </si>
  <si>
    <t>CUST0875</t>
  </si>
  <si>
    <t>Wagner</t>
  </si>
  <si>
    <t>CUST0876</t>
  </si>
  <si>
    <t>Lambert</t>
  </si>
  <si>
    <t>CUST0877</t>
  </si>
  <si>
    <t>Hudson</t>
  </si>
  <si>
    <t>CUST0878</t>
  </si>
  <si>
    <t>CUST0879</t>
  </si>
  <si>
    <t>CUST0880</t>
  </si>
  <si>
    <t>CUST0881</t>
  </si>
  <si>
    <t>CUST0882</t>
  </si>
  <si>
    <t>Chung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</si>
  <si>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</si>
  <si>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</si>
  <si>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</si>
  <si>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</si>
  <si>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</si>
  <si>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</si>
  <si>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</si>
  <si>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</si>
  <si>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</si>
  <si>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Madden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</si>
  <si>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</si>
  <si>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</si>
  <si>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</si>
  <si>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</si>
  <si>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</si>
  <si>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</si>
  <si>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</si>
  <si>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</si>
  <si>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Bradley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</si>
  <si>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</si>
  <si>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</si>
  <si>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</si>
  <si>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</si>
  <si>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</si>
  <si>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</si>
  <si>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</si>
  <si>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</si>
  <si>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</si>
  <si>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Bell</t>
  </si>
  <si>
    <t>CUST0909</t>
  </si>
  <si>
    <t>CUST0910</t>
  </si>
  <si>
    <t>CUST0911</t>
  </si>
  <si>
    <t>CUST0912</t>
  </si>
  <si>
    <t>Ross</t>
  </si>
  <si>
    <t>CUST0913</t>
  </si>
  <si>
    <t>Escobar</t>
  </si>
  <si>
    <t>CUST0914</t>
  </si>
  <si>
    <t>CUST0915</t>
  </si>
  <si>
    <t>CUST0916</t>
  </si>
  <si>
    <t>CUST0917</t>
  </si>
  <si>
    <t>CUST0918</t>
  </si>
  <si>
    <t>Boone</t>
  </si>
  <si>
    <t>CUST0919</t>
  </si>
  <si>
    <t>Matthews</t>
  </si>
  <si>
    <t>CUST0920</t>
  </si>
  <si>
    <t>Gordon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</si>
  <si>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</si>
  <si>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</si>
  <si>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</si>
  <si>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</si>
  <si>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</si>
  <si>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</si>
  <si>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</si>
  <si>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</si>
  <si>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</si>
  <si>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</si>
  <si>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</si>
  <si>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</si>
  <si>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Lam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</si>
  <si>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</si>
  <si>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</si>
  <si>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</si>
  <si>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</si>
  <si>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</si>
  <si>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</si>
  <si>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</si>
  <si>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</si>
  <si>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Goodwin</t>
  </si>
  <si>
    <t>CUST0941</t>
  </si>
  <si>
    <t>CUST0942</t>
  </si>
  <si>
    <t>CUST0943</t>
  </si>
  <si>
    <t>CUST0944</t>
  </si>
  <si>
    <t>Chan</t>
  </si>
  <si>
    <t>CUST0945</t>
  </si>
  <si>
    <t>CUST0946</t>
  </si>
  <si>
    <t>CUST0947</t>
  </si>
  <si>
    <t>CUST0948</t>
  </si>
  <si>
    <t>CUST0949</t>
  </si>
  <si>
    <t>CUST0950</t>
  </si>
  <si>
    <t>Gilmore</t>
  </si>
  <si>
    <t>CUST0951</t>
  </si>
  <si>
    <t>CUST0952</t>
  </si>
  <si>
    <t>CUST0953</t>
  </si>
  <si>
    <t>CUST0954</t>
  </si>
  <si>
    <t>CUST0955</t>
  </si>
  <si>
    <t>CUST0956</t>
  </si>
  <si>
    <t>CUST0957</t>
  </si>
  <si>
    <t>Cox</t>
  </si>
  <si>
    <t>CUST0958</t>
  </si>
  <si>
    <t>CUST0959</t>
  </si>
  <si>
    <t>CUST0960</t>
  </si>
  <si>
    <t>CUST0961</t>
  </si>
  <si>
    <t>Kim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</si>
  <si>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</si>
  <si>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</si>
  <si>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</si>
  <si>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</si>
  <si>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</si>
  <si>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</si>
  <si>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</si>
  <si>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</si>
  <si>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</si>
  <si>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</si>
  <si>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</si>
  <si>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</si>
  <si>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Harris</t>
  </si>
  <si>
    <t>CUST0974</t>
  </si>
  <si>
    <t>CUST0975</t>
  </si>
  <si>
    <t>CUST0976</t>
  </si>
  <si>
    <t>Hamilton</t>
  </si>
  <si>
    <t>CUST0977</t>
  </si>
  <si>
    <t>CUST0978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</si>
</sst>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A0A0A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0" fillId="0" borderId="0" xfId="0" applyNumberForma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U976"/>
  <sheetViews>
    <sheetView tabSelected="1" topLeftCell="N689" workbookViewId="0">
      <selection activeCell="S692" sqref="S692"/>
    </sheetView>
  </sheetViews>
  <sheetFormatPr defaultRowHeight="15"/>
  <cols>
    <col min="1" max="1" width="11.85546875" bestFit="1" customWidth="1"/>
    <col min="2" max="2" width="21.42578125" bestFit="1" customWidth="1"/>
    <col min="3" max="3" width="20.140625" bestFit="1" customWidth="1"/>
    <col min="4" max="4" width="20.140625" customWidth="1"/>
    <col min="5" max="5" width="7" bestFit="1" customWidth="1"/>
    <col min="6" max="6" width="13.140625" bestFit="1" customWidth="1"/>
    <col min="7" max="7" width="11.140625" bestFit="1" customWidth="1"/>
    <col min="8" max="8" width="20" bestFit="1" customWidth="1"/>
    <col min="10" max="10" width="20" bestFit="1" customWidth="1"/>
    <col min="11" max="11" width="20.42578125" bestFit="1" customWidth="1"/>
    <col min="12" max="12" width="31" bestFit="1" customWidth="1"/>
    <col min="13" max="13" width="29.28515625" bestFit="1" customWidth="1"/>
    <col min="14" max="14" width="12.85546875" bestFit="1" customWidth="1"/>
    <col min="15" max="15" width="31.28515625" bestFit="1" customWidth="1"/>
    <col min="16" max="16" width="17.42578125" bestFit="1" customWidth="1"/>
    <col min="17" max="17" width="14.140625" bestFit="1" customWidth="1"/>
    <col min="18" max="18" width="26.140625" bestFit="1" customWidth="1"/>
    <col min="19" max="19" width="29.28515625" bestFit="1" customWidth="1"/>
  </cols>
  <sheetData>
    <row r="1" spans="1:21" s="1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>
      <c r="A2" t="s">
        <v>21</v>
      </c>
      <c r="B2" t="s">
        <v>22</v>
      </c>
      <c r="C2" s="2" t="s">
        <v>23</v>
      </c>
      <c r="D2" s="2" t="str">
        <f>B2&amp;" "&amp;C2</f>
        <v>Ngozi Berry</v>
      </c>
      <c r="E2">
        <v>27</v>
      </c>
      <c r="F2" s="3" t="str">
        <f>FLOOR(E2, 10)&amp;"-"&amp;FLOOR(E2, 10)+9</f>
        <v>20-29</v>
      </c>
      <c r="G2" t="s">
        <v>24</v>
      </c>
      <c r="H2" t="s">
        <v>25</v>
      </c>
      <c r="I2" t="s">
        <v>26</v>
      </c>
      <c r="J2">
        <v>2</v>
      </c>
      <c r="K2" t="s">
        <v>27</v>
      </c>
      <c r="L2">
        <v>2</v>
      </c>
      <c r="M2" t="s">
        <v>28</v>
      </c>
      <c r="N2">
        <v>35000</v>
      </c>
      <c r="O2">
        <v>19</v>
      </c>
      <c r="P2" s="4">
        <v>665000</v>
      </c>
      <c r="Q2">
        <v>44.48</v>
      </c>
      <c r="R2" t="s">
        <v>29</v>
      </c>
      <c r="S2" t="s">
        <v>30</v>
      </c>
      <c r="T2">
        <f>IF(R2="Yes",P2,0)</f>
        <v>665000</v>
      </c>
      <c r="U2" t="str">
        <f>IF(L2&lt;=6,"0-6 Months",
IF(L2&lt;=12,"7-12 Months",
IF(L2&lt;=24,"13-24 Months","24+ Months")))</f>
        <v>0-6 Months</v>
      </c>
    </row>
    <row r="3" spans="1:21" hidden="1">
      <c r="A3" t="s">
        <v>31</v>
      </c>
      <c r="B3" t="s">
        <v>32</v>
      </c>
      <c r="C3" s="2" t="s">
        <v>33</v>
      </c>
      <c r="D3" s="2" t="str">
        <f t="shared" ref="D3:D66" si="0">B3&amp;" "&amp;C3</f>
        <v>Zainab Baker</v>
      </c>
      <c r="E3">
        <v>16</v>
      </c>
      <c r="F3" s="3" t="str">
        <f t="shared" ref="F3:F66" si="1">FLOOR(E3, 10)&amp;"-"&amp;FLOOR(E3, 10)+9</f>
        <v>10-19</v>
      </c>
      <c r="G3" t="s">
        <v>34</v>
      </c>
      <c r="H3" t="s">
        <v>35</v>
      </c>
      <c r="I3" t="s">
        <v>36</v>
      </c>
      <c r="J3">
        <v>2</v>
      </c>
      <c r="K3" t="s">
        <v>27</v>
      </c>
      <c r="L3">
        <v>22</v>
      </c>
      <c r="M3" t="s">
        <v>37</v>
      </c>
      <c r="N3">
        <v>5500</v>
      </c>
      <c r="O3">
        <v>12</v>
      </c>
      <c r="P3">
        <v>66000</v>
      </c>
      <c r="Q3">
        <v>19.79</v>
      </c>
      <c r="R3" t="s">
        <v>29</v>
      </c>
      <c r="S3" t="s">
        <v>38</v>
      </c>
      <c r="T3">
        <f t="shared" ref="T3:T66" si="2">IF(R3="Yes",P3,0)</f>
        <v>66000</v>
      </c>
      <c r="U3" t="str">
        <f t="shared" ref="U3:U66" si="3">IF(L3&lt;=6,"0-6 Months",
IF(L3&lt;=12,"7-12 Months",
IF(L3&lt;=24,"13-24 Months","24+ Months")))</f>
        <v>13-24 Months</v>
      </c>
    </row>
    <row r="4" spans="1:21">
      <c r="A4" t="s">
        <v>39</v>
      </c>
      <c r="B4" t="s">
        <v>40</v>
      </c>
      <c r="C4" s="2" t="s">
        <v>41</v>
      </c>
      <c r="D4" s="2" t="str">
        <f t="shared" si="0"/>
        <v>Saidu Evans</v>
      </c>
      <c r="E4">
        <v>21</v>
      </c>
      <c r="F4" s="3" t="str">
        <f t="shared" si="1"/>
        <v>20-29</v>
      </c>
      <c r="G4" t="s">
        <v>42</v>
      </c>
      <c r="H4" t="s">
        <v>43</v>
      </c>
      <c r="I4" t="s">
        <v>26</v>
      </c>
      <c r="J4">
        <v>1</v>
      </c>
      <c r="K4" t="s">
        <v>44</v>
      </c>
      <c r="L4">
        <v>60</v>
      </c>
      <c r="M4" t="s">
        <v>45</v>
      </c>
      <c r="N4">
        <v>20000</v>
      </c>
      <c r="O4">
        <v>8</v>
      </c>
      <c r="P4">
        <v>160000</v>
      </c>
      <c r="Q4">
        <v>9.64</v>
      </c>
      <c r="R4" t="s">
        <v>46</v>
      </c>
      <c r="S4" t="s">
        <v>47</v>
      </c>
      <c r="T4">
        <f t="shared" si="2"/>
        <v>0</v>
      </c>
      <c r="U4" t="str">
        <f t="shared" si="3"/>
        <v>24+ Months</v>
      </c>
    </row>
    <row r="5" spans="1:21">
      <c r="A5" t="s">
        <v>48</v>
      </c>
      <c r="B5" t="s">
        <v>40</v>
      </c>
      <c r="C5" s="2" t="s">
        <v>41</v>
      </c>
      <c r="D5" s="2" t="str">
        <f t="shared" si="0"/>
        <v>Saidu Evans</v>
      </c>
      <c r="E5">
        <v>21</v>
      </c>
      <c r="F5" s="3" t="str">
        <f t="shared" si="1"/>
        <v>20-29</v>
      </c>
      <c r="G5" t="s">
        <v>42</v>
      </c>
      <c r="H5" t="s">
        <v>35</v>
      </c>
      <c r="I5" t="s">
        <v>26</v>
      </c>
      <c r="J5">
        <v>1</v>
      </c>
      <c r="K5" t="s">
        <v>44</v>
      </c>
      <c r="L5">
        <v>60</v>
      </c>
      <c r="M5" t="s">
        <v>49</v>
      </c>
      <c r="N5">
        <v>500</v>
      </c>
      <c r="O5">
        <v>8</v>
      </c>
      <c r="P5">
        <v>4000</v>
      </c>
      <c r="Q5">
        <v>197.05</v>
      </c>
      <c r="R5" t="s">
        <v>46</v>
      </c>
      <c r="S5" t="s">
        <v>47</v>
      </c>
      <c r="T5">
        <f t="shared" si="2"/>
        <v>0</v>
      </c>
      <c r="U5" t="str">
        <f t="shared" si="3"/>
        <v>24+ Months</v>
      </c>
    </row>
    <row r="6" spans="1:21">
      <c r="A6" t="s">
        <v>50</v>
      </c>
      <c r="B6" t="s">
        <v>40</v>
      </c>
      <c r="C6" s="2" t="s">
        <v>41</v>
      </c>
      <c r="D6" s="2" t="str">
        <f t="shared" si="0"/>
        <v>Saidu Evans</v>
      </c>
      <c r="E6">
        <v>21</v>
      </c>
      <c r="F6" s="3" t="str">
        <f t="shared" si="1"/>
        <v>20-29</v>
      </c>
      <c r="G6" t="s">
        <v>42</v>
      </c>
      <c r="H6" t="s">
        <v>51</v>
      </c>
      <c r="I6" t="s">
        <v>26</v>
      </c>
      <c r="J6">
        <v>1</v>
      </c>
      <c r="K6" t="s">
        <v>44</v>
      </c>
      <c r="L6">
        <v>60</v>
      </c>
      <c r="M6" t="s">
        <v>52</v>
      </c>
      <c r="N6">
        <v>9000</v>
      </c>
      <c r="O6">
        <v>15</v>
      </c>
      <c r="P6">
        <v>135000</v>
      </c>
      <c r="Q6">
        <v>76.34</v>
      </c>
      <c r="R6" t="s">
        <v>46</v>
      </c>
      <c r="S6" t="s">
        <v>47</v>
      </c>
      <c r="T6">
        <f t="shared" si="2"/>
        <v>0</v>
      </c>
      <c r="U6" t="str">
        <f t="shared" si="3"/>
        <v>24+ Months</v>
      </c>
    </row>
    <row r="7" spans="1:21">
      <c r="A7" t="s">
        <v>53</v>
      </c>
      <c r="B7" t="s">
        <v>54</v>
      </c>
      <c r="C7" s="2" t="s">
        <v>55</v>
      </c>
      <c r="D7" s="2" t="str">
        <f t="shared" si="0"/>
        <v>Ejiro Walker</v>
      </c>
      <c r="E7">
        <v>36</v>
      </c>
      <c r="F7" s="3" t="str">
        <f t="shared" si="1"/>
        <v>30-39</v>
      </c>
      <c r="G7" t="s">
        <v>56</v>
      </c>
      <c r="H7" t="s">
        <v>25</v>
      </c>
      <c r="I7" t="s">
        <v>36</v>
      </c>
      <c r="J7">
        <v>1</v>
      </c>
      <c r="K7" t="s">
        <v>44</v>
      </c>
      <c r="L7">
        <v>14</v>
      </c>
      <c r="M7" t="s">
        <v>57</v>
      </c>
      <c r="N7">
        <v>4500</v>
      </c>
      <c r="O7">
        <v>9</v>
      </c>
      <c r="P7">
        <v>40500</v>
      </c>
      <c r="Q7">
        <v>92.72</v>
      </c>
      <c r="R7" t="s">
        <v>46</v>
      </c>
      <c r="S7" t="s">
        <v>47</v>
      </c>
      <c r="T7">
        <f t="shared" si="2"/>
        <v>0</v>
      </c>
      <c r="U7" t="str">
        <f t="shared" si="3"/>
        <v>13-24 Months</v>
      </c>
    </row>
    <row r="8" spans="1:21">
      <c r="A8" t="s">
        <v>58</v>
      </c>
      <c r="B8" t="s">
        <v>59</v>
      </c>
      <c r="C8" s="2" t="s">
        <v>60</v>
      </c>
      <c r="D8" s="2" t="str">
        <f t="shared" si="0"/>
        <v>Nura Mann</v>
      </c>
      <c r="E8">
        <v>57</v>
      </c>
      <c r="F8" s="3" t="str">
        <f t="shared" si="1"/>
        <v>50-59</v>
      </c>
      <c r="G8" t="s">
        <v>61</v>
      </c>
      <c r="H8" t="s">
        <v>25</v>
      </c>
      <c r="I8" t="s">
        <v>26</v>
      </c>
      <c r="J8">
        <v>3</v>
      </c>
      <c r="K8" t="s">
        <v>62</v>
      </c>
      <c r="L8">
        <v>53</v>
      </c>
      <c r="M8" t="s">
        <v>63</v>
      </c>
      <c r="N8">
        <v>9000</v>
      </c>
      <c r="O8">
        <v>16</v>
      </c>
      <c r="P8">
        <v>144000</v>
      </c>
      <c r="Q8">
        <v>42.92</v>
      </c>
      <c r="R8" t="s">
        <v>46</v>
      </c>
      <c r="S8" t="s">
        <v>47</v>
      </c>
      <c r="T8">
        <f t="shared" si="2"/>
        <v>0</v>
      </c>
      <c r="U8" t="str">
        <f t="shared" si="3"/>
        <v>24+ Months</v>
      </c>
    </row>
    <row r="9" spans="1:21">
      <c r="A9" t="s">
        <v>64</v>
      </c>
      <c r="B9" t="s">
        <v>65</v>
      </c>
      <c r="C9" s="2" t="s">
        <v>66</v>
      </c>
      <c r="D9" s="2" t="str">
        <f t="shared" si="0"/>
        <v>Tamuno Lewis</v>
      </c>
      <c r="E9">
        <v>74</v>
      </c>
      <c r="F9" s="3" t="str">
        <f t="shared" si="1"/>
        <v>70-79</v>
      </c>
      <c r="G9" t="s">
        <v>67</v>
      </c>
      <c r="H9" t="s">
        <v>35</v>
      </c>
      <c r="I9" t="s">
        <v>36</v>
      </c>
      <c r="J9">
        <v>5</v>
      </c>
      <c r="K9" t="s">
        <v>68</v>
      </c>
      <c r="L9">
        <v>9</v>
      </c>
      <c r="M9" t="s">
        <v>69</v>
      </c>
      <c r="N9">
        <v>3500</v>
      </c>
      <c r="O9">
        <v>5</v>
      </c>
      <c r="P9">
        <v>17500</v>
      </c>
      <c r="Q9">
        <v>44.25</v>
      </c>
      <c r="R9" t="s">
        <v>46</v>
      </c>
      <c r="S9" t="s">
        <v>47</v>
      </c>
      <c r="T9">
        <f t="shared" si="2"/>
        <v>0</v>
      </c>
      <c r="U9" t="str">
        <f t="shared" si="3"/>
        <v>7-12 Months</v>
      </c>
    </row>
    <row r="10" spans="1:21">
      <c r="A10" t="s">
        <v>70</v>
      </c>
      <c r="B10" t="s">
        <v>65</v>
      </c>
      <c r="C10" s="2" t="s">
        <v>66</v>
      </c>
      <c r="D10" s="2" t="str">
        <f t="shared" si="0"/>
        <v>Tamuno Lewis</v>
      </c>
      <c r="E10">
        <v>74</v>
      </c>
      <c r="F10" s="3" t="str">
        <f t="shared" si="1"/>
        <v>70-79</v>
      </c>
      <c r="G10" t="s">
        <v>67</v>
      </c>
      <c r="H10" t="s">
        <v>43</v>
      </c>
      <c r="I10" t="s">
        <v>36</v>
      </c>
      <c r="J10">
        <v>5</v>
      </c>
      <c r="K10" t="s">
        <v>68</v>
      </c>
      <c r="L10">
        <v>9</v>
      </c>
      <c r="M10" t="s">
        <v>71</v>
      </c>
      <c r="N10">
        <v>150000</v>
      </c>
      <c r="O10">
        <v>2</v>
      </c>
      <c r="P10">
        <v>300000</v>
      </c>
      <c r="Q10">
        <v>18.64</v>
      </c>
      <c r="R10" t="s">
        <v>46</v>
      </c>
      <c r="S10" t="s">
        <v>47</v>
      </c>
      <c r="T10">
        <f t="shared" si="2"/>
        <v>0</v>
      </c>
      <c r="U10" t="str">
        <f t="shared" si="3"/>
        <v>7-12 Months</v>
      </c>
    </row>
    <row r="11" spans="1:21">
      <c r="A11" t="s">
        <v>72</v>
      </c>
      <c r="B11" t="s">
        <v>65</v>
      </c>
      <c r="C11" s="2" t="s">
        <v>66</v>
      </c>
      <c r="D11" s="2" t="str">
        <f t="shared" si="0"/>
        <v>Tamuno Lewis</v>
      </c>
      <c r="E11">
        <v>74</v>
      </c>
      <c r="F11" s="3" t="str">
        <f t="shared" si="1"/>
        <v>70-79</v>
      </c>
      <c r="G11" t="s">
        <v>67</v>
      </c>
      <c r="H11" t="s">
        <v>25</v>
      </c>
      <c r="I11" t="s">
        <v>36</v>
      </c>
      <c r="J11">
        <v>5</v>
      </c>
      <c r="K11" t="s">
        <v>68</v>
      </c>
      <c r="L11">
        <v>9</v>
      </c>
      <c r="M11" t="s">
        <v>73</v>
      </c>
      <c r="N11">
        <v>16000</v>
      </c>
      <c r="O11">
        <v>6</v>
      </c>
      <c r="P11">
        <v>96000</v>
      </c>
      <c r="Q11">
        <v>30.99</v>
      </c>
      <c r="R11" t="s">
        <v>46</v>
      </c>
      <c r="S11" t="s">
        <v>47</v>
      </c>
      <c r="T11">
        <f t="shared" si="2"/>
        <v>0</v>
      </c>
      <c r="U11" t="str">
        <f t="shared" si="3"/>
        <v>7-12 Months</v>
      </c>
    </row>
    <row r="12" spans="1:21" hidden="1">
      <c r="A12" t="s">
        <v>74</v>
      </c>
      <c r="B12" t="s">
        <v>75</v>
      </c>
      <c r="C12" s="2" t="s">
        <v>76</v>
      </c>
      <c r="D12" s="2" t="str">
        <f t="shared" si="0"/>
        <v>Boma Stewart</v>
      </c>
      <c r="E12">
        <v>24</v>
      </c>
      <c r="F12" s="3" t="str">
        <f t="shared" si="1"/>
        <v>20-29</v>
      </c>
      <c r="G12" t="s">
        <v>77</v>
      </c>
      <c r="H12" t="s">
        <v>51</v>
      </c>
      <c r="I12" t="s">
        <v>36</v>
      </c>
      <c r="J12">
        <v>5</v>
      </c>
      <c r="K12" t="s">
        <v>68</v>
      </c>
      <c r="L12">
        <v>39</v>
      </c>
      <c r="M12" t="s">
        <v>78</v>
      </c>
      <c r="N12">
        <v>24000</v>
      </c>
      <c r="O12">
        <v>11</v>
      </c>
      <c r="P12">
        <v>264000</v>
      </c>
      <c r="Q12">
        <v>150.30000000000001</v>
      </c>
      <c r="R12" t="s">
        <v>29</v>
      </c>
      <c r="S12" t="s">
        <v>30</v>
      </c>
      <c r="T12">
        <f t="shared" si="2"/>
        <v>264000</v>
      </c>
      <c r="U12" t="str">
        <f t="shared" si="3"/>
        <v>24+ Months</v>
      </c>
    </row>
    <row r="13" spans="1:21">
      <c r="A13" t="s">
        <v>79</v>
      </c>
      <c r="B13" t="s">
        <v>80</v>
      </c>
      <c r="C13" s="2" t="s">
        <v>81</v>
      </c>
      <c r="D13" s="2" t="str">
        <f t="shared" si="0"/>
        <v>Ifeanyi Park</v>
      </c>
      <c r="E13">
        <v>53</v>
      </c>
      <c r="F13" s="3" t="str">
        <f t="shared" si="1"/>
        <v>50-59</v>
      </c>
      <c r="G13" t="s">
        <v>24</v>
      </c>
      <c r="H13" t="s">
        <v>51</v>
      </c>
      <c r="I13" t="s">
        <v>26</v>
      </c>
      <c r="J13">
        <v>3</v>
      </c>
      <c r="K13" t="s">
        <v>62</v>
      </c>
      <c r="L13">
        <v>30</v>
      </c>
      <c r="M13" t="s">
        <v>82</v>
      </c>
      <c r="N13">
        <v>30000</v>
      </c>
      <c r="O13">
        <v>17</v>
      </c>
      <c r="P13">
        <v>510000</v>
      </c>
      <c r="Q13">
        <v>168.41</v>
      </c>
      <c r="R13" t="s">
        <v>46</v>
      </c>
      <c r="S13" t="s">
        <v>47</v>
      </c>
      <c r="T13">
        <f t="shared" si="2"/>
        <v>0</v>
      </c>
      <c r="U13" t="str">
        <f t="shared" si="3"/>
        <v>24+ Months</v>
      </c>
    </row>
    <row r="14" spans="1:21">
      <c r="A14" t="s">
        <v>83</v>
      </c>
      <c r="B14" t="s">
        <v>84</v>
      </c>
      <c r="C14" s="2" t="s">
        <v>85</v>
      </c>
      <c r="D14" s="2" t="str">
        <f t="shared" si="0"/>
        <v>Bala Robbins</v>
      </c>
      <c r="E14">
        <v>35</v>
      </c>
      <c r="F14" s="3" t="str">
        <f t="shared" si="1"/>
        <v>30-39</v>
      </c>
      <c r="G14" t="s">
        <v>56</v>
      </c>
      <c r="H14" t="s">
        <v>51</v>
      </c>
      <c r="I14" t="s">
        <v>26</v>
      </c>
      <c r="J14">
        <v>5</v>
      </c>
      <c r="K14" t="s">
        <v>68</v>
      </c>
      <c r="L14">
        <v>35</v>
      </c>
      <c r="M14" t="s">
        <v>82</v>
      </c>
      <c r="N14">
        <v>30000</v>
      </c>
      <c r="O14">
        <v>10</v>
      </c>
      <c r="P14">
        <v>300000</v>
      </c>
      <c r="Q14">
        <v>175.81</v>
      </c>
      <c r="R14" t="s">
        <v>46</v>
      </c>
      <c r="S14" t="s">
        <v>47</v>
      </c>
      <c r="T14">
        <f t="shared" si="2"/>
        <v>0</v>
      </c>
      <c r="U14" t="str">
        <f t="shared" si="3"/>
        <v>24+ Months</v>
      </c>
    </row>
    <row r="15" spans="1:21">
      <c r="A15" t="s">
        <v>86</v>
      </c>
      <c r="B15" t="s">
        <v>87</v>
      </c>
      <c r="C15" s="2" t="s">
        <v>88</v>
      </c>
      <c r="D15" s="2" t="str">
        <f t="shared" si="0"/>
        <v>Halima Ochoa</v>
      </c>
      <c r="E15">
        <v>23</v>
      </c>
      <c r="F15" s="3" t="str">
        <f t="shared" si="1"/>
        <v>20-29</v>
      </c>
      <c r="G15" t="s">
        <v>89</v>
      </c>
      <c r="H15" t="s">
        <v>25</v>
      </c>
      <c r="I15" t="s">
        <v>26</v>
      </c>
      <c r="J15">
        <v>1</v>
      </c>
      <c r="K15" t="s">
        <v>44</v>
      </c>
      <c r="L15">
        <v>6</v>
      </c>
      <c r="M15" t="s">
        <v>57</v>
      </c>
      <c r="N15">
        <v>4500</v>
      </c>
      <c r="O15">
        <v>20</v>
      </c>
      <c r="P15">
        <v>90000</v>
      </c>
      <c r="Q15">
        <v>53.38</v>
      </c>
      <c r="R15" t="s">
        <v>46</v>
      </c>
      <c r="S15" t="s">
        <v>47</v>
      </c>
      <c r="T15">
        <f t="shared" si="2"/>
        <v>0</v>
      </c>
      <c r="U15" t="str">
        <f t="shared" si="3"/>
        <v>0-6 Months</v>
      </c>
    </row>
    <row r="16" spans="1:21">
      <c r="A16" t="s">
        <v>90</v>
      </c>
      <c r="B16" t="s">
        <v>87</v>
      </c>
      <c r="C16" s="2" t="s">
        <v>88</v>
      </c>
      <c r="D16" s="2" t="str">
        <f t="shared" si="0"/>
        <v>Halima Ochoa</v>
      </c>
      <c r="E16">
        <v>23</v>
      </c>
      <c r="F16" s="3" t="str">
        <f t="shared" si="1"/>
        <v>20-29</v>
      </c>
      <c r="G16" t="s">
        <v>89</v>
      </c>
      <c r="H16" t="s">
        <v>51</v>
      </c>
      <c r="I16" t="s">
        <v>26</v>
      </c>
      <c r="J16">
        <v>1</v>
      </c>
      <c r="K16" t="s">
        <v>44</v>
      </c>
      <c r="L16">
        <v>6</v>
      </c>
      <c r="M16" t="s">
        <v>91</v>
      </c>
      <c r="N16">
        <v>14500</v>
      </c>
      <c r="O16">
        <v>18</v>
      </c>
      <c r="P16">
        <v>261000</v>
      </c>
      <c r="Q16">
        <v>192.89</v>
      </c>
      <c r="R16" t="s">
        <v>46</v>
      </c>
      <c r="S16" t="s">
        <v>47</v>
      </c>
      <c r="T16">
        <f t="shared" si="2"/>
        <v>0</v>
      </c>
      <c r="U16" t="str">
        <f t="shared" si="3"/>
        <v>0-6 Months</v>
      </c>
    </row>
    <row r="17" spans="1:21">
      <c r="A17" t="s">
        <v>92</v>
      </c>
      <c r="B17" t="s">
        <v>87</v>
      </c>
      <c r="C17" s="2" t="s">
        <v>88</v>
      </c>
      <c r="D17" s="2" t="str">
        <f t="shared" si="0"/>
        <v>Halima Ochoa</v>
      </c>
      <c r="E17">
        <v>23</v>
      </c>
      <c r="F17" s="3" t="str">
        <f t="shared" si="1"/>
        <v>20-29</v>
      </c>
      <c r="G17" t="s">
        <v>89</v>
      </c>
      <c r="H17" t="s">
        <v>35</v>
      </c>
      <c r="I17" t="s">
        <v>26</v>
      </c>
      <c r="J17">
        <v>1</v>
      </c>
      <c r="K17" t="s">
        <v>44</v>
      </c>
      <c r="L17">
        <v>6</v>
      </c>
      <c r="M17" t="s">
        <v>93</v>
      </c>
      <c r="N17">
        <v>350</v>
      </c>
      <c r="O17">
        <v>13</v>
      </c>
      <c r="P17">
        <v>4550</v>
      </c>
      <c r="Q17">
        <v>142.72999999999999</v>
      </c>
      <c r="R17" t="s">
        <v>46</v>
      </c>
      <c r="S17" t="s">
        <v>47</v>
      </c>
      <c r="T17">
        <f t="shared" si="2"/>
        <v>0</v>
      </c>
      <c r="U17" t="str">
        <f t="shared" si="3"/>
        <v>0-6 Months</v>
      </c>
    </row>
    <row r="18" spans="1:21" hidden="1">
      <c r="A18" t="s">
        <v>94</v>
      </c>
      <c r="B18" t="s">
        <v>54</v>
      </c>
      <c r="C18" s="2" t="s">
        <v>95</v>
      </c>
      <c r="D18" s="2" t="str">
        <f t="shared" si="0"/>
        <v>Ejiro Griffith</v>
      </c>
      <c r="E18">
        <v>72</v>
      </c>
      <c r="F18" s="3" t="str">
        <f t="shared" si="1"/>
        <v>70-79</v>
      </c>
      <c r="G18" t="s">
        <v>96</v>
      </c>
      <c r="H18" t="s">
        <v>25</v>
      </c>
      <c r="I18" t="s">
        <v>36</v>
      </c>
      <c r="J18">
        <v>2</v>
      </c>
      <c r="K18" t="s">
        <v>27</v>
      </c>
      <c r="L18">
        <v>8</v>
      </c>
      <c r="M18" t="s">
        <v>73</v>
      </c>
      <c r="N18">
        <v>16000</v>
      </c>
      <c r="O18">
        <v>2</v>
      </c>
      <c r="P18">
        <v>32000</v>
      </c>
      <c r="Q18">
        <v>14.66</v>
      </c>
      <c r="R18" t="s">
        <v>29</v>
      </c>
      <c r="S18" t="s">
        <v>97</v>
      </c>
      <c r="T18">
        <f t="shared" si="2"/>
        <v>32000</v>
      </c>
      <c r="U18" t="str">
        <f t="shared" si="3"/>
        <v>7-12 Months</v>
      </c>
    </row>
    <row r="19" spans="1:21" hidden="1">
      <c r="A19" t="s">
        <v>98</v>
      </c>
      <c r="B19" t="s">
        <v>54</v>
      </c>
      <c r="C19" s="2" t="s">
        <v>95</v>
      </c>
      <c r="D19" s="2" t="str">
        <f t="shared" si="0"/>
        <v>Ejiro Griffith</v>
      </c>
      <c r="E19">
        <v>72</v>
      </c>
      <c r="F19" s="3" t="str">
        <f t="shared" si="1"/>
        <v>70-79</v>
      </c>
      <c r="G19" t="s">
        <v>96</v>
      </c>
      <c r="H19" t="s">
        <v>43</v>
      </c>
      <c r="I19" t="s">
        <v>36</v>
      </c>
      <c r="J19">
        <v>2</v>
      </c>
      <c r="K19" t="s">
        <v>27</v>
      </c>
      <c r="L19">
        <v>8</v>
      </c>
      <c r="M19" t="s">
        <v>91</v>
      </c>
      <c r="N19">
        <v>14500</v>
      </c>
      <c r="O19">
        <v>2</v>
      </c>
      <c r="P19">
        <v>29000</v>
      </c>
      <c r="Q19">
        <v>13.95</v>
      </c>
      <c r="R19" t="s">
        <v>29</v>
      </c>
      <c r="S19" t="s">
        <v>97</v>
      </c>
      <c r="T19">
        <f t="shared" si="2"/>
        <v>29000</v>
      </c>
      <c r="U19" t="str">
        <f t="shared" si="3"/>
        <v>7-12 Months</v>
      </c>
    </row>
    <row r="20" spans="1:21" hidden="1">
      <c r="A20" t="s">
        <v>99</v>
      </c>
      <c r="B20" t="s">
        <v>54</v>
      </c>
      <c r="C20" s="2" t="s">
        <v>95</v>
      </c>
      <c r="D20" s="2" t="str">
        <f t="shared" si="0"/>
        <v>Ejiro Griffith</v>
      </c>
      <c r="E20">
        <v>72</v>
      </c>
      <c r="F20" s="3" t="str">
        <f t="shared" si="1"/>
        <v>70-79</v>
      </c>
      <c r="G20" t="s">
        <v>96</v>
      </c>
      <c r="H20" t="s">
        <v>51</v>
      </c>
      <c r="I20" t="s">
        <v>36</v>
      </c>
      <c r="J20">
        <v>2</v>
      </c>
      <c r="K20" t="s">
        <v>27</v>
      </c>
      <c r="L20">
        <v>8</v>
      </c>
      <c r="M20" t="s">
        <v>82</v>
      </c>
      <c r="N20">
        <v>30000</v>
      </c>
      <c r="O20">
        <v>8</v>
      </c>
      <c r="P20">
        <v>240000</v>
      </c>
      <c r="Q20">
        <v>14.64</v>
      </c>
      <c r="R20" t="s">
        <v>29</v>
      </c>
      <c r="S20" t="s">
        <v>97</v>
      </c>
      <c r="T20">
        <f t="shared" si="2"/>
        <v>240000</v>
      </c>
      <c r="U20" t="str">
        <f t="shared" si="3"/>
        <v>7-12 Months</v>
      </c>
    </row>
    <row r="21" spans="1:21">
      <c r="A21" t="s">
        <v>100</v>
      </c>
      <c r="B21" t="s">
        <v>32</v>
      </c>
      <c r="C21" s="2" t="s">
        <v>101</v>
      </c>
      <c r="D21" s="2" t="str">
        <f t="shared" si="0"/>
        <v>Zainab Morton</v>
      </c>
      <c r="E21">
        <v>78</v>
      </c>
      <c r="F21" s="3" t="str">
        <f t="shared" si="1"/>
        <v>70-79</v>
      </c>
      <c r="G21" t="s">
        <v>102</v>
      </c>
      <c r="H21" t="s">
        <v>25</v>
      </c>
      <c r="I21" t="s">
        <v>26</v>
      </c>
      <c r="J21">
        <v>2</v>
      </c>
      <c r="K21" t="s">
        <v>27</v>
      </c>
      <c r="L21">
        <v>47</v>
      </c>
      <c r="M21" t="s">
        <v>73</v>
      </c>
      <c r="N21">
        <v>16000</v>
      </c>
      <c r="O21">
        <v>12</v>
      </c>
      <c r="P21">
        <v>192000</v>
      </c>
      <c r="Q21">
        <v>131.97</v>
      </c>
      <c r="R21" t="s">
        <v>46</v>
      </c>
      <c r="S21" t="s">
        <v>47</v>
      </c>
      <c r="T21">
        <f t="shared" si="2"/>
        <v>0</v>
      </c>
      <c r="U21" t="str">
        <f t="shared" si="3"/>
        <v>24+ Months</v>
      </c>
    </row>
    <row r="22" spans="1:21">
      <c r="A22" t="s">
        <v>103</v>
      </c>
      <c r="B22" t="s">
        <v>32</v>
      </c>
      <c r="C22" s="2" t="s">
        <v>101</v>
      </c>
      <c r="D22" s="2" t="str">
        <f t="shared" si="0"/>
        <v>Zainab Morton</v>
      </c>
      <c r="E22">
        <v>78</v>
      </c>
      <c r="F22" s="3" t="str">
        <f t="shared" si="1"/>
        <v>70-79</v>
      </c>
      <c r="G22" t="s">
        <v>102</v>
      </c>
      <c r="H22" t="s">
        <v>51</v>
      </c>
      <c r="I22" t="s">
        <v>26</v>
      </c>
      <c r="J22">
        <v>2</v>
      </c>
      <c r="K22" t="s">
        <v>27</v>
      </c>
      <c r="L22">
        <v>47</v>
      </c>
      <c r="M22" t="s">
        <v>91</v>
      </c>
      <c r="N22">
        <v>14500</v>
      </c>
      <c r="O22">
        <v>2</v>
      </c>
      <c r="P22">
        <v>29000</v>
      </c>
      <c r="Q22">
        <v>82.51</v>
      </c>
      <c r="R22" t="s">
        <v>46</v>
      </c>
      <c r="S22" t="s">
        <v>47</v>
      </c>
      <c r="T22">
        <f t="shared" si="2"/>
        <v>0</v>
      </c>
      <c r="U22" t="str">
        <f t="shared" si="3"/>
        <v>24+ Months</v>
      </c>
    </row>
    <row r="23" spans="1:21" hidden="1">
      <c r="A23" t="s">
        <v>104</v>
      </c>
      <c r="B23" t="s">
        <v>22</v>
      </c>
      <c r="C23" s="2" t="s">
        <v>105</v>
      </c>
      <c r="D23" s="2" t="str">
        <f t="shared" si="0"/>
        <v>Ngozi Moreno</v>
      </c>
      <c r="E23">
        <v>23</v>
      </c>
      <c r="F23" s="3" t="str">
        <f t="shared" si="1"/>
        <v>20-29</v>
      </c>
      <c r="G23" t="s">
        <v>106</v>
      </c>
      <c r="H23" t="s">
        <v>25</v>
      </c>
      <c r="I23" t="s">
        <v>36</v>
      </c>
      <c r="J23">
        <v>2</v>
      </c>
      <c r="K23" t="s">
        <v>27</v>
      </c>
      <c r="L23">
        <v>52</v>
      </c>
      <c r="M23" t="s">
        <v>57</v>
      </c>
      <c r="N23">
        <v>4500</v>
      </c>
      <c r="O23">
        <v>8</v>
      </c>
      <c r="P23">
        <v>36000</v>
      </c>
      <c r="Q23">
        <v>56.07</v>
      </c>
      <c r="R23" t="s">
        <v>29</v>
      </c>
      <c r="S23" t="s">
        <v>30</v>
      </c>
      <c r="T23">
        <f t="shared" si="2"/>
        <v>36000</v>
      </c>
      <c r="U23" t="str">
        <f t="shared" si="3"/>
        <v>24+ Months</v>
      </c>
    </row>
    <row r="24" spans="1:21" hidden="1">
      <c r="A24" t="s">
        <v>107</v>
      </c>
      <c r="B24" t="s">
        <v>22</v>
      </c>
      <c r="C24" s="2" t="s">
        <v>105</v>
      </c>
      <c r="D24" s="2" t="str">
        <f t="shared" si="0"/>
        <v>Ngozi Moreno</v>
      </c>
      <c r="E24">
        <v>23</v>
      </c>
      <c r="F24" s="3" t="str">
        <f t="shared" si="1"/>
        <v>20-29</v>
      </c>
      <c r="G24" t="s">
        <v>106</v>
      </c>
      <c r="H24" t="s">
        <v>35</v>
      </c>
      <c r="I24" t="s">
        <v>36</v>
      </c>
      <c r="J24">
        <v>2</v>
      </c>
      <c r="K24" t="s">
        <v>27</v>
      </c>
      <c r="L24">
        <v>52</v>
      </c>
      <c r="M24" t="s">
        <v>108</v>
      </c>
      <c r="N24">
        <v>1000</v>
      </c>
      <c r="O24">
        <v>18</v>
      </c>
      <c r="P24">
        <v>18000</v>
      </c>
      <c r="Q24">
        <v>88.9</v>
      </c>
      <c r="R24" t="s">
        <v>29</v>
      </c>
      <c r="S24" t="s">
        <v>30</v>
      </c>
      <c r="T24">
        <f t="shared" si="2"/>
        <v>18000</v>
      </c>
      <c r="U24" t="str">
        <f t="shared" si="3"/>
        <v>24+ Months</v>
      </c>
    </row>
    <row r="25" spans="1:21">
      <c r="A25" t="s">
        <v>109</v>
      </c>
      <c r="B25" t="s">
        <v>22</v>
      </c>
      <c r="C25" s="2" t="s">
        <v>110</v>
      </c>
      <c r="D25" s="2" t="str">
        <f t="shared" si="0"/>
        <v>Ngozi Crawford</v>
      </c>
      <c r="E25">
        <v>22</v>
      </c>
      <c r="F25" s="3" t="str">
        <f t="shared" si="1"/>
        <v>20-29</v>
      </c>
      <c r="G25" t="s">
        <v>111</v>
      </c>
      <c r="H25" t="s">
        <v>25</v>
      </c>
      <c r="I25" t="s">
        <v>26</v>
      </c>
      <c r="J25">
        <v>2</v>
      </c>
      <c r="K25" t="s">
        <v>27</v>
      </c>
      <c r="L25">
        <v>6</v>
      </c>
      <c r="M25" t="s">
        <v>73</v>
      </c>
      <c r="N25">
        <v>16000</v>
      </c>
      <c r="O25">
        <v>1</v>
      </c>
      <c r="P25">
        <v>16000</v>
      </c>
      <c r="Q25">
        <v>33.35</v>
      </c>
      <c r="R25" t="s">
        <v>46</v>
      </c>
      <c r="S25" t="s">
        <v>47</v>
      </c>
      <c r="T25">
        <f t="shared" si="2"/>
        <v>0</v>
      </c>
      <c r="U25" t="str">
        <f t="shared" si="3"/>
        <v>0-6 Months</v>
      </c>
    </row>
    <row r="26" spans="1:21">
      <c r="A26" t="s">
        <v>112</v>
      </c>
      <c r="B26" t="s">
        <v>22</v>
      </c>
      <c r="C26" s="2" t="s">
        <v>110</v>
      </c>
      <c r="D26" s="2" t="str">
        <f t="shared" si="0"/>
        <v>Ngozi Crawford</v>
      </c>
      <c r="E26">
        <v>22</v>
      </c>
      <c r="F26" s="3" t="str">
        <f t="shared" si="1"/>
        <v>20-29</v>
      </c>
      <c r="G26" t="s">
        <v>111</v>
      </c>
      <c r="H26" t="s">
        <v>35</v>
      </c>
      <c r="I26" t="s">
        <v>26</v>
      </c>
      <c r="J26">
        <v>2</v>
      </c>
      <c r="K26" t="s">
        <v>27</v>
      </c>
      <c r="L26">
        <v>6</v>
      </c>
      <c r="M26" t="s">
        <v>113</v>
      </c>
      <c r="N26">
        <v>7500</v>
      </c>
      <c r="O26">
        <v>15</v>
      </c>
      <c r="P26">
        <v>112500</v>
      </c>
      <c r="Q26">
        <v>53.41</v>
      </c>
      <c r="R26" t="s">
        <v>46</v>
      </c>
      <c r="S26" t="s">
        <v>47</v>
      </c>
      <c r="T26">
        <f t="shared" si="2"/>
        <v>0</v>
      </c>
      <c r="U26" t="str">
        <f t="shared" si="3"/>
        <v>0-6 Months</v>
      </c>
    </row>
    <row r="27" spans="1:21">
      <c r="A27" t="s">
        <v>114</v>
      </c>
      <c r="B27" t="s">
        <v>115</v>
      </c>
      <c r="C27" s="2" t="s">
        <v>116</v>
      </c>
      <c r="D27" s="2" t="str">
        <f t="shared" si="0"/>
        <v>Abubakar Garner</v>
      </c>
      <c r="E27">
        <v>70</v>
      </c>
      <c r="F27" s="3" t="str">
        <f t="shared" si="1"/>
        <v>70-79</v>
      </c>
      <c r="G27" t="s">
        <v>117</v>
      </c>
      <c r="H27" t="s">
        <v>51</v>
      </c>
      <c r="I27" t="s">
        <v>26</v>
      </c>
      <c r="J27">
        <v>2</v>
      </c>
      <c r="K27" t="s">
        <v>27</v>
      </c>
      <c r="L27">
        <v>13</v>
      </c>
      <c r="M27" t="s">
        <v>52</v>
      </c>
      <c r="N27">
        <v>9000</v>
      </c>
      <c r="O27">
        <v>16</v>
      </c>
      <c r="P27">
        <v>144000</v>
      </c>
      <c r="Q27">
        <v>10.5</v>
      </c>
      <c r="R27" t="s">
        <v>46</v>
      </c>
      <c r="S27" t="s">
        <v>47</v>
      </c>
      <c r="T27">
        <f t="shared" si="2"/>
        <v>0</v>
      </c>
      <c r="U27" t="str">
        <f t="shared" si="3"/>
        <v>13-24 Months</v>
      </c>
    </row>
    <row r="28" spans="1:21">
      <c r="A28" t="s">
        <v>118</v>
      </c>
      <c r="B28" t="s">
        <v>115</v>
      </c>
      <c r="C28" s="2" t="s">
        <v>116</v>
      </c>
      <c r="D28" s="2" t="str">
        <f t="shared" si="0"/>
        <v>Abubakar Garner</v>
      </c>
      <c r="E28">
        <v>70</v>
      </c>
      <c r="F28" s="3" t="str">
        <f t="shared" si="1"/>
        <v>70-79</v>
      </c>
      <c r="G28" t="s">
        <v>117</v>
      </c>
      <c r="H28" t="s">
        <v>43</v>
      </c>
      <c r="I28" t="s">
        <v>26</v>
      </c>
      <c r="J28">
        <v>2</v>
      </c>
      <c r="K28" t="s">
        <v>27</v>
      </c>
      <c r="L28">
        <v>13</v>
      </c>
      <c r="M28" t="s">
        <v>82</v>
      </c>
      <c r="N28">
        <v>30000</v>
      </c>
      <c r="O28">
        <v>17</v>
      </c>
      <c r="P28">
        <v>510000</v>
      </c>
      <c r="Q28">
        <v>11.85</v>
      </c>
      <c r="R28" t="s">
        <v>46</v>
      </c>
      <c r="S28" t="s">
        <v>47</v>
      </c>
      <c r="T28">
        <f t="shared" si="2"/>
        <v>0</v>
      </c>
      <c r="U28" t="str">
        <f>IF(L28&lt;=6,"0-6 Months",
IF(L28&lt;=12,"7-12 Months",
IF(L28&lt;=24,"13-24 Months","24+ Months")))</f>
        <v>13-24 Months</v>
      </c>
    </row>
    <row r="29" spans="1:21">
      <c r="A29" t="s">
        <v>119</v>
      </c>
      <c r="B29" t="s">
        <v>115</v>
      </c>
      <c r="C29" s="2" t="s">
        <v>116</v>
      </c>
      <c r="D29" s="2" t="str">
        <f t="shared" si="0"/>
        <v>Abubakar Garner</v>
      </c>
      <c r="E29">
        <v>70</v>
      </c>
      <c r="F29" s="3" t="str">
        <f t="shared" si="1"/>
        <v>70-79</v>
      </c>
      <c r="G29" t="s">
        <v>117</v>
      </c>
      <c r="H29" t="s">
        <v>25</v>
      </c>
      <c r="I29" t="s">
        <v>26</v>
      </c>
      <c r="J29">
        <v>2</v>
      </c>
      <c r="K29" t="s">
        <v>27</v>
      </c>
      <c r="L29">
        <v>13</v>
      </c>
      <c r="M29" t="s">
        <v>73</v>
      </c>
      <c r="N29">
        <v>16000</v>
      </c>
      <c r="O29">
        <v>3</v>
      </c>
      <c r="P29">
        <v>48000</v>
      </c>
      <c r="Q29">
        <v>170.34</v>
      </c>
      <c r="R29" t="s">
        <v>46</v>
      </c>
      <c r="S29" t="s">
        <v>47</v>
      </c>
      <c r="T29">
        <f t="shared" si="2"/>
        <v>0</v>
      </c>
      <c r="U29" t="str">
        <f t="shared" si="3"/>
        <v>13-24 Months</v>
      </c>
    </row>
    <row r="30" spans="1:21">
      <c r="A30" t="s">
        <v>120</v>
      </c>
      <c r="B30" t="s">
        <v>121</v>
      </c>
      <c r="C30" s="2" t="s">
        <v>122</v>
      </c>
      <c r="D30" s="2" t="str">
        <f t="shared" si="0"/>
        <v>Kunle Ford</v>
      </c>
      <c r="E30">
        <v>46</v>
      </c>
      <c r="F30" s="3" t="str">
        <f t="shared" si="1"/>
        <v>40-49</v>
      </c>
      <c r="G30" t="s">
        <v>106</v>
      </c>
      <c r="H30" t="s">
        <v>51</v>
      </c>
      <c r="I30" t="s">
        <v>26</v>
      </c>
      <c r="J30">
        <v>5</v>
      </c>
      <c r="K30" t="s">
        <v>68</v>
      </c>
      <c r="L30">
        <v>57</v>
      </c>
      <c r="M30" t="s">
        <v>82</v>
      </c>
      <c r="N30">
        <v>30000</v>
      </c>
      <c r="O30">
        <v>11</v>
      </c>
      <c r="P30">
        <v>330000</v>
      </c>
      <c r="Q30">
        <v>41.25</v>
      </c>
      <c r="R30" t="s">
        <v>46</v>
      </c>
      <c r="S30" t="s">
        <v>47</v>
      </c>
      <c r="T30">
        <f t="shared" si="2"/>
        <v>0</v>
      </c>
      <c r="U30" t="str">
        <f t="shared" si="3"/>
        <v>24+ Months</v>
      </c>
    </row>
    <row r="31" spans="1:21">
      <c r="A31" t="s">
        <v>123</v>
      </c>
      <c r="B31" t="s">
        <v>121</v>
      </c>
      <c r="C31" s="2" t="s">
        <v>122</v>
      </c>
      <c r="D31" s="2" t="str">
        <f t="shared" si="0"/>
        <v>Kunle Ford</v>
      </c>
      <c r="E31">
        <v>46</v>
      </c>
      <c r="F31" s="3" t="str">
        <f t="shared" si="1"/>
        <v>40-49</v>
      </c>
      <c r="G31" t="s">
        <v>106</v>
      </c>
      <c r="H31" t="s">
        <v>25</v>
      </c>
      <c r="I31" t="s">
        <v>26</v>
      </c>
      <c r="J31">
        <v>5</v>
      </c>
      <c r="K31" t="s">
        <v>68</v>
      </c>
      <c r="L31">
        <v>57</v>
      </c>
      <c r="M31" t="s">
        <v>57</v>
      </c>
      <c r="N31">
        <v>4500</v>
      </c>
      <c r="O31">
        <v>5</v>
      </c>
      <c r="P31">
        <v>22500</v>
      </c>
      <c r="Q31">
        <v>53.49</v>
      </c>
      <c r="R31" t="s">
        <v>46</v>
      </c>
      <c r="S31" t="s">
        <v>47</v>
      </c>
      <c r="T31">
        <f t="shared" si="2"/>
        <v>0</v>
      </c>
      <c r="U31" t="str">
        <f t="shared" si="3"/>
        <v>24+ Months</v>
      </c>
    </row>
    <row r="32" spans="1:21">
      <c r="A32" t="s">
        <v>124</v>
      </c>
      <c r="B32" t="s">
        <v>121</v>
      </c>
      <c r="C32" s="2" t="s">
        <v>122</v>
      </c>
      <c r="D32" s="2" t="str">
        <f t="shared" si="0"/>
        <v>Kunle Ford</v>
      </c>
      <c r="E32">
        <v>46</v>
      </c>
      <c r="F32" s="3" t="str">
        <f t="shared" si="1"/>
        <v>40-49</v>
      </c>
      <c r="G32" t="s">
        <v>106</v>
      </c>
      <c r="H32" t="s">
        <v>43</v>
      </c>
      <c r="I32" t="s">
        <v>26</v>
      </c>
      <c r="J32">
        <v>5</v>
      </c>
      <c r="K32" t="s">
        <v>68</v>
      </c>
      <c r="L32">
        <v>57</v>
      </c>
      <c r="M32" t="s">
        <v>78</v>
      </c>
      <c r="N32">
        <v>24000</v>
      </c>
      <c r="O32">
        <v>3</v>
      </c>
      <c r="P32">
        <v>72000</v>
      </c>
      <c r="Q32">
        <v>91.72</v>
      </c>
      <c r="R32" t="s">
        <v>46</v>
      </c>
      <c r="S32" t="s">
        <v>47</v>
      </c>
      <c r="T32">
        <f t="shared" si="2"/>
        <v>0</v>
      </c>
      <c r="U32" t="str">
        <f t="shared" si="3"/>
        <v>24+ Months</v>
      </c>
    </row>
    <row r="33" spans="1:21" hidden="1">
      <c r="A33" t="s">
        <v>125</v>
      </c>
      <c r="B33" t="s">
        <v>126</v>
      </c>
      <c r="C33" s="2" t="s">
        <v>127</v>
      </c>
      <c r="D33" s="2" t="str">
        <f t="shared" si="0"/>
        <v>Tunde Hayes</v>
      </c>
      <c r="E33">
        <v>74</v>
      </c>
      <c r="F33" s="3" t="str">
        <f t="shared" si="1"/>
        <v>70-79</v>
      </c>
      <c r="G33" t="s">
        <v>128</v>
      </c>
      <c r="H33" t="s">
        <v>25</v>
      </c>
      <c r="I33" t="s">
        <v>26</v>
      </c>
      <c r="J33">
        <v>5</v>
      </c>
      <c r="K33" t="s">
        <v>68</v>
      </c>
      <c r="L33">
        <v>35</v>
      </c>
      <c r="M33" t="s">
        <v>63</v>
      </c>
      <c r="N33">
        <v>9000</v>
      </c>
      <c r="O33">
        <v>15</v>
      </c>
      <c r="P33">
        <v>135000</v>
      </c>
      <c r="Q33">
        <v>57.35</v>
      </c>
      <c r="R33" t="s">
        <v>29</v>
      </c>
      <c r="S33" t="s">
        <v>129</v>
      </c>
      <c r="T33">
        <f t="shared" si="2"/>
        <v>135000</v>
      </c>
      <c r="U33" t="str">
        <f t="shared" si="3"/>
        <v>24+ Months</v>
      </c>
    </row>
    <row r="34" spans="1:21">
      <c r="A34" t="s">
        <v>130</v>
      </c>
      <c r="B34" t="s">
        <v>131</v>
      </c>
      <c r="C34" s="2" t="s">
        <v>132</v>
      </c>
      <c r="D34" s="2" t="str">
        <f t="shared" si="0"/>
        <v>David Fletcher</v>
      </c>
      <c r="E34">
        <v>54</v>
      </c>
      <c r="F34" s="3" t="str">
        <f t="shared" si="1"/>
        <v>50-59</v>
      </c>
      <c r="G34" t="s">
        <v>96</v>
      </c>
      <c r="H34" t="s">
        <v>43</v>
      </c>
      <c r="I34" t="s">
        <v>26</v>
      </c>
      <c r="J34">
        <v>1</v>
      </c>
      <c r="K34" t="s">
        <v>44</v>
      </c>
      <c r="L34">
        <v>43</v>
      </c>
      <c r="M34" t="s">
        <v>45</v>
      </c>
      <c r="N34">
        <v>20000</v>
      </c>
      <c r="O34">
        <v>18</v>
      </c>
      <c r="P34">
        <v>360000</v>
      </c>
      <c r="Q34">
        <v>178</v>
      </c>
      <c r="R34" t="s">
        <v>46</v>
      </c>
      <c r="S34" t="s">
        <v>47</v>
      </c>
      <c r="T34">
        <f t="shared" si="2"/>
        <v>0</v>
      </c>
      <c r="U34" t="str">
        <f t="shared" si="3"/>
        <v>24+ Months</v>
      </c>
    </row>
    <row r="35" spans="1:21">
      <c r="A35" t="s">
        <v>133</v>
      </c>
      <c r="B35" t="s">
        <v>134</v>
      </c>
      <c r="C35" s="2" t="s">
        <v>135</v>
      </c>
      <c r="D35" s="2" t="str">
        <f t="shared" si="0"/>
        <v>Obinna Wright</v>
      </c>
      <c r="E35">
        <v>50</v>
      </c>
      <c r="F35" s="3" t="str">
        <f t="shared" si="1"/>
        <v>50-59</v>
      </c>
      <c r="G35" t="s">
        <v>136</v>
      </c>
      <c r="H35" t="s">
        <v>35</v>
      </c>
      <c r="I35" t="s">
        <v>26</v>
      </c>
      <c r="J35">
        <v>2</v>
      </c>
      <c r="K35" t="s">
        <v>27</v>
      </c>
      <c r="L35">
        <v>46</v>
      </c>
      <c r="M35" t="s">
        <v>137</v>
      </c>
      <c r="N35">
        <v>900</v>
      </c>
      <c r="O35">
        <v>14</v>
      </c>
      <c r="P35">
        <v>12600</v>
      </c>
      <c r="Q35">
        <v>18.91</v>
      </c>
      <c r="R35" t="s">
        <v>46</v>
      </c>
      <c r="S35" t="s">
        <v>47</v>
      </c>
      <c r="T35">
        <f t="shared" si="2"/>
        <v>0</v>
      </c>
      <c r="U35" t="str">
        <f t="shared" si="3"/>
        <v>24+ Months</v>
      </c>
    </row>
    <row r="36" spans="1:21">
      <c r="A36" t="s">
        <v>138</v>
      </c>
      <c r="B36" t="s">
        <v>134</v>
      </c>
      <c r="C36" s="2" t="s">
        <v>135</v>
      </c>
      <c r="D36" s="2" t="str">
        <f t="shared" si="0"/>
        <v>Obinna Wright</v>
      </c>
      <c r="E36">
        <v>50</v>
      </c>
      <c r="F36" s="3" t="str">
        <f t="shared" si="1"/>
        <v>50-59</v>
      </c>
      <c r="G36" t="s">
        <v>136</v>
      </c>
      <c r="H36" t="s">
        <v>25</v>
      </c>
      <c r="I36" t="s">
        <v>26</v>
      </c>
      <c r="J36">
        <v>2</v>
      </c>
      <c r="K36" t="s">
        <v>27</v>
      </c>
      <c r="L36">
        <v>46</v>
      </c>
      <c r="M36" t="s">
        <v>63</v>
      </c>
      <c r="N36">
        <v>9000</v>
      </c>
      <c r="O36">
        <v>11</v>
      </c>
      <c r="P36">
        <v>99000</v>
      </c>
      <c r="Q36">
        <v>9.3000000000000007</v>
      </c>
      <c r="R36" t="s">
        <v>46</v>
      </c>
      <c r="S36" t="s">
        <v>47</v>
      </c>
      <c r="T36">
        <f t="shared" si="2"/>
        <v>0</v>
      </c>
      <c r="U36" t="str">
        <f t="shared" si="3"/>
        <v>24+ Months</v>
      </c>
    </row>
    <row r="37" spans="1:21" hidden="1">
      <c r="A37" t="s">
        <v>139</v>
      </c>
      <c r="B37" t="s">
        <v>140</v>
      </c>
      <c r="C37" s="2" t="s">
        <v>141</v>
      </c>
      <c r="D37" s="2" t="str">
        <f t="shared" si="0"/>
        <v>Amaka Reed</v>
      </c>
      <c r="E37">
        <v>49</v>
      </c>
      <c r="F37" s="3" t="str">
        <f t="shared" si="1"/>
        <v>40-49</v>
      </c>
      <c r="G37" t="s">
        <v>34</v>
      </c>
      <c r="H37" t="s">
        <v>25</v>
      </c>
      <c r="I37" t="s">
        <v>36</v>
      </c>
      <c r="J37">
        <v>5</v>
      </c>
      <c r="K37" t="s">
        <v>68</v>
      </c>
      <c r="L37">
        <v>36</v>
      </c>
      <c r="M37" t="s">
        <v>63</v>
      </c>
      <c r="N37">
        <v>9000</v>
      </c>
      <c r="O37">
        <v>5</v>
      </c>
      <c r="P37">
        <v>45000</v>
      </c>
      <c r="Q37">
        <v>116.71</v>
      </c>
      <c r="R37" t="s">
        <v>29</v>
      </c>
      <c r="S37" t="s">
        <v>97</v>
      </c>
      <c r="T37">
        <f t="shared" si="2"/>
        <v>45000</v>
      </c>
      <c r="U37" t="str">
        <f t="shared" si="3"/>
        <v>24+ Months</v>
      </c>
    </row>
    <row r="38" spans="1:21" hidden="1">
      <c r="A38" t="s">
        <v>142</v>
      </c>
      <c r="B38" t="s">
        <v>140</v>
      </c>
      <c r="C38" s="2" t="s">
        <v>141</v>
      </c>
      <c r="D38" s="2" t="str">
        <f t="shared" si="0"/>
        <v>Amaka Reed</v>
      </c>
      <c r="E38">
        <v>49</v>
      </c>
      <c r="F38" s="3" t="str">
        <f t="shared" si="1"/>
        <v>40-49</v>
      </c>
      <c r="G38" t="s">
        <v>34</v>
      </c>
      <c r="H38" t="s">
        <v>43</v>
      </c>
      <c r="I38" t="s">
        <v>36</v>
      </c>
      <c r="J38">
        <v>5</v>
      </c>
      <c r="K38" t="s">
        <v>68</v>
      </c>
      <c r="L38">
        <v>36</v>
      </c>
      <c r="M38" t="s">
        <v>143</v>
      </c>
      <c r="N38">
        <v>75000</v>
      </c>
      <c r="O38">
        <v>10</v>
      </c>
      <c r="P38">
        <v>750000</v>
      </c>
      <c r="Q38">
        <v>25.93</v>
      </c>
      <c r="R38" t="s">
        <v>29</v>
      </c>
      <c r="S38" t="s">
        <v>97</v>
      </c>
      <c r="T38">
        <f t="shared" si="2"/>
        <v>750000</v>
      </c>
      <c r="U38" t="str">
        <f t="shared" si="3"/>
        <v>24+ Months</v>
      </c>
    </row>
    <row r="39" spans="1:21" hidden="1">
      <c r="A39" t="s">
        <v>144</v>
      </c>
      <c r="B39" t="s">
        <v>140</v>
      </c>
      <c r="C39" s="2" t="s">
        <v>141</v>
      </c>
      <c r="D39" s="2" t="str">
        <f t="shared" si="0"/>
        <v>Amaka Reed</v>
      </c>
      <c r="E39">
        <v>49</v>
      </c>
      <c r="F39" s="3" t="str">
        <f t="shared" si="1"/>
        <v>40-49</v>
      </c>
      <c r="G39" t="s">
        <v>34</v>
      </c>
      <c r="H39" t="s">
        <v>51</v>
      </c>
      <c r="I39" t="s">
        <v>36</v>
      </c>
      <c r="J39">
        <v>5</v>
      </c>
      <c r="K39" t="s">
        <v>68</v>
      </c>
      <c r="L39">
        <v>36</v>
      </c>
      <c r="M39" t="s">
        <v>82</v>
      </c>
      <c r="N39">
        <v>30000</v>
      </c>
      <c r="O39">
        <v>2</v>
      </c>
      <c r="P39">
        <v>60000</v>
      </c>
      <c r="Q39">
        <v>179.85</v>
      </c>
      <c r="R39" t="s">
        <v>29</v>
      </c>
      <c r="S39" t="s">
        <v>97</v>
      </c>
      <c r="T39">
        <f t="shared" si="2"/>
        <v>60000</v>
      </c>
      <c r="U39" t="str">
        <f t="shared" si="3"/>
        <v>24+ Months</v>
      </c>
    </row>
    <row r="40" spans="1:21">
      <c r="A40" t="s">
        <v>145</v>
      </c>
      <c r="B40" t="s">
        <v>146</v>
      </c>
      <c r="C40" s="2" t="s">
        <v>147</v>
      </c>
      <c r="D40" s="2" t="str">
        <f t="shared" si="0"/>
        <v>Oghene Brown</v>
      </c>
      <c r="E40">
        <v>42</v>
      </c>
      <c r="F40" s="3" t="str">
        <f t="shared" si="1"/>
        <v>40-49</v>
      </c>
      <c r="G40" t="s">
        <v>89</v>
      </c>
      <c r="H40" t="s">
        <v>35</v>
      </c>
      <c r="I40" t="s">
        <v>26</v>
      </c>
      <c r="J40">
        <v>5</v>
      </c>
      <c r="K40" t="s">
        <v>68</v>
      </c>
      <c r="L40">
        <v>23</v>
      </c>
      <c r="M40" t="s">
        <v>57</v>
      </c>
      <c r="N40">
        <v>4500</v>
      </c>
      <c r="O40">
        <v>1</v>
      </c>
      <c r="P40">
        <v>4500</v>
      </c>
      <c r="Q40">
        <v>176.34</v>
      </c>
      <c r="R40" t="s">
        <v>46</v>
      </c>
      <c r="S40" t="s">
        <v>47</v>
      </c>
      <c r="T40">
        <f t="shared" si="2"/>
        <v>0</v>
      </c>
      <c r="U40" t="str">
        <f t="shared" si="3"/>
        <v>13-24 Months</v>
      </c>
    </row>
    <row r="41" spans="1:21">
      <c r="A41" t="s">
        <v>148</v>
      </c>
      <c r="B41" t="s">
        <v>149</v>
      </c>
      <c r="C41" s="2" t="s">
        <v>150</v>
      </c>
      <c r="D41" s="2" t="str">
        <f t="shared" si="0"/>
        <v>Shehu Ferguson</v>
      </c>
      <c r="E41">
        <v>58</v>
      </c>
      <c r="F41" s="3" t="str">
        <f t="shared" si="1"/>
        <v>50-59</v>
      </c>
      <c r="G41" t="s">
        <v>151</v>
      </c>
      <c r="H41" t="s">
        <v>35</v>
      </c>
      <c r="I41" t="s">
        <v>26</v>
      </c>
      <c r="J41">
        <v>1</v>
      </c>
      <c r="K41" t="s">
        <v>44</v>
      </c>
      <c r="L41">
        <v>18</v>
      </c>
      <c r="M41" t="s">
        <v>93</v>
      </c>
      <c r="N41">
        <v>350</v>
      </c>
      <c r="O41">
        <v>15</v>
      </c>
      <c r="P41">
        <v>5250</v>
      </c>
      <c r="Q41">
        <v>40.31</v>
      </c>
      <c r="R41" t="s">
        <v>46</v>
      </c>
      <c r="S41" t="s">
        <v>47</v>
      </c>
      <c r="T41">
        <f t="shared" si="2"/>
        <v>0</v>
      </c>
      <c r="U41" t="str">
        <f t="shared" si="3"/>
        <v>13-24 Months</v>
      </c>
    </row>
    <row r="42" spans="1:21">
      <c r="A42" t="s">
        <v>152</v>
      </c>
      <c r="B42" t="s">
        <v>146</v>
      </c>
      <c r="C42" s="2" t="s">
        <v>153</v>
      </c>
      <c r="D42" s="2" t="str">
        <f t="shared" si="0"/>
        <v>Oghene Vazquez</v>
      </c>
      <c r="E42">
        <v>55</v>
      </c>
      <c r="F42" s="3" t="str">
        <f t="shared" si="1"/>
        <v>50-59</v>
      </c>
      <c r="G42" t="s">
        <v>154</v>
      </c>
      <c r="H42" t="s">
        <v>43</v>
      </c>
      <c r="I42" t="s">
        <v>26</v>
      </c>
      <c r="J42">
        <v>4</v>
      </c>
      <c r="K42" t="s">
        <v>155</v>
      </c>
      <c r="L42">
        <v>2</v>
      </c>
      <c r="M42" t="s">
        <v>156</v>
      </c>
      <c r="N42">
        <v>25000</v>
      </c>
      <c r="O42">
        <v>13</v>
      </c>
      <c r="P42">
        <v>325000</v>
      </c>
      <c r="Q42">
        <v>128.47999999999999</v>
      </c>
      <c r="R42" t="s">
        <v>46</v>
      </c>
      <c r="S42" t="s">
        <v>47</v>
      </c>
      <c r="T42">
        <f t="shared" si="2"/>
        <v>0</v>
      </c>
      <c r="U42" t="str">
        <f t="shared" si="3"/>
        <v>0-6 Months</v>
      </c>
    </row>
    <row r="43" spans="1:21">
      <c r="A43" t="s">
        <v>157</v>
      </c>
      <c r="B43" t="s">
        <v>131</v>
      </c>
      <c r="C43" s="2" t="s">
        <v>158</v>
      </c>
      <c r="D43" s="2" t="str">
        <f t="shared" si="0"/>
        <v>David Johnson</v>
      </c>
      <c r="E43">
        <v>58</v>
      </c>
      <c r="F43" s="3" t="str">
        <f t="shared" si="1"/>
        <v>50-59</v>
      </c>
      <c r="G43" t="s">
        <v>159</v>
      </c>
      <c r="H43" t="s">
        <v>51</v>
      </c>
      <c r="I43" t="s">
        <v>26</v>
      </c>
      <c r="J43">
        <v>2</v>
      </c>
      <c r="K43" t="s">
        <v>27</v>
      </c>
      <c r="L43">
        <v>57</v>
      </c>
      <c r="M43" t="s">
        <v>78</v>
      </c>
      <c r="N43">
        <v>24000</v>
      </c>
      <c r="O43">
        <v>11</v>
      </c>
      <c r="P43">
        <v>264000</v>
      </c>
      <c r="Q43">
        <v>87.2</v>
      </c>
      <c r="R43" t="s">
        <v>46</v>
      </c>
      <c r="S43" t="s">
        <v>47</v>
      </c>
      <c r="T43">
        <f t="shared" si="2"/>
        <v>0</v>
      </c>
      <c r="U43" t="str">
        <f t="shared" si="3"/>
        <v>24+ Months</v>
      </c>
    </row>
    <row r="44" spans="1:21">
      <c r="A44" t="s">
        <v>160</v>
      </c>
      <c r="B44" t="s">
        <v>131</v>
      </c>
      <c r="C44" s="2" t="s">
        <v>158</v>
      </c>
      <c r="D44" s="2" t="str">
        <f t="shared" si="0"/>
        <v>David Johnson</v>
      </c>
      <c r="E44">
        <v>58</v>
      </c>
      <c r="F44" s="3" t="str">
        <f t="shared" si="1"/>
        <v>50-59</v>
      </c>
      <c r="G44" t="s">
        <v>159</v>
      </c>
      <c r="H44" t="s">
        <v>35</v>
      </c>
      <c r="I44" t="s">
        <v>26</v>
      </c>
      <c r="J44">
        <v>2</v>
      </c>
      <c r="K44" t="s">
        <v>27</v>
      </c>
      <c r="L44">
        <v>57</v>
      </c>
      <c r="M44" t="s">
        <v>113</v>
      </c>
      <c r="N44">
        <v>7500</v>
      </c>
      <c r="O44">
        <v>17</v>
      </c>
      <c r="P44">
        <v>127500</v>
      </c>
      <c r="Q44">
        <v>121.44</v>
      </c>
      <c r="R44" t="s">
        <v>46</v>
      </c>
      <c r="S44" t="s">
        <v>47</v>
      </c>
      <c r="T44">
        <f t="shared" si="2"/>
        <v>0</v>
      </c>
      <c r="U44" t="str">
        <f t="shared" si="3"/>
        <v>24+ Months</v>
      </c>
    </row>
    <row r="45" spans="1:21">
      <c r="A45" t="s">
        <v>161</v>
      </c>
      <c r="B45" t="s">
        <v>80</v>
      </c>
      <c r="C45" s="2" t="s">
        <v>147</v>
      </c>
      <c r="D45" s="2" t="str">
        <f t="shared" si="0"/>
        <v>Ifeanyi Brown</v>
      </c>
      <c r="E45">
        <v>65</v>
      </c>
      <c r="F45" s="3" t="str">
        <f t="shared" si="1"/>
        <v>60-69</v>
      </c>
      <c r="G45" t="s">
        <v>162</v>
      </c>
      <c r="H45" t="s">
        <v>25</v>
      </c>
      <c r="I45" t="s">
        <v>36</v>
      </c>
      <c r="J45">
        <v>1</v>
      </c>
      <c r="K45" t="s">
        <v>44</v>
      </c>
      <c r="L45">
        <v>3</v>
      </c>
      <c r="M45" t="s">
        <v>73</v>
      </c>
      <c r="N45">
        <v>16000</v>
      </c>
      <c r="O45">
        <v>11</v>
      </c>
      <c r="P45">
        <v>176000</v>
      </c>
      <c r="Q45">
        <v>189.8</v>
      </c>
      <c r="R45" t="s">
        <v>46</v>
      </c>
      <c r="S45" t="s">
        <v>47</v>
      </c>
      <c r="T45">
        <f t="shared" si="2"/>
        <v>0</v>
      </c>
      <c r="U45" t="str">
        <f t="shared" si="3"/>
        <v>0-6 Months</v>
      </c>
    </row>
    <row r="46" spans="1:21">
      <c r="A46" t="s">
        <v>163</v>
      </c>
      <c r="B46" t="s">
        <v>80</v>
      </c>
      <c r="C46" s="2" t="s">
        <v>147</v>
      </c>
      <c r="D46" s="2" t="str">
        <f t="shared" si="0"/>
        <v>Ifeanyi Brown</v>
      </c>
      <c r="E46">
        <v>65</v>
      </c>
      <c r="F46" s="3" t="str">
        <f t="shared" si="1"/>
        <v>60-69</v>
      </c>
      <c r="G46" t="s">
        <v>162</v>
      </c>
      <c r="H46" t="s">
        <v>35</v>
      </c>
      <c r="I46" t="s">
        <v>36</v>
      </c>
      <c r="J46">
        <v>1</v>
      </c>
      <c r="K46" t="s">
        <v>44</v>
      </c>
      <c r="L46">
        <v>3</v>
      </c>
      <c r="M46" t="s">
        <v>69</v>
      </c>
      <c r="N46">
        <v>3500</v>
      </c>
      <c r="O46">
        <v>4</v>
      </c>
      <c r="P46">
        <v>14000</v>
      </c>
      <c r="Q46">
        <v>132.85</v>
      </c>
      <c r="R46" t="s">
        <v>46</v>
      </c>
      <c r="S46" t="s">
        <v>47</v>
      </c>
      <c r="T46">
        <f t="shared" si="2"/>
        <v>0</v>
      </c>
      <c r="U46" t="str">
        <f t="shared" si="3"/>
        <v>0-6 Months</v>
      </c>
    </row>
    <row r="47" spans="1:21">
      <c r="A47" t="s">
        <v>164</v>
      </c>
      <c r="B47" t="s">
        <v>80</v>
      </c>
      <c r="C47" s="2" t="s">
        <v>147</v>
      </c>
      <c r="D47" s="2" t="str">
        <f t="shared" si="0"/>
        <v>Ifeanyi Brown</v>
      </c>
      <c r="E47">
        <v>65</v>
      </c>
      <c r="F47" s="3" t="str">
        <f t="shared" si="1"/>
        <v>60-69</v>
      </c>
      <c r="G47" t="s">
        <v>162</v>
      </c>
      <c r="H47" t="s">
        <v>43</v>
      </c>
      <c r="I47" t="s">
        <v>36</v>
      </c>
      <c r="J47">
        <v>1</v>
      </c>
      <c r="K47" t="s">
        <v>44</v>
      </c>
      <c r="L47">
        <v>3</v>
      </c>
      <c r="M47" t="s">
        <v>78</v>
      </c>
      <c r="N47">
        <v>24000</v>
      </c>
      <c r="O47">
        <v>14</v>
      </c>
      <c r="P47">
        <v>336000</v>
      </c>
      <c r="Q47">
        <v>101.67</v>
      </c>
      <c r="R47" t="s">
        <v>46</v>
      </c>
      <c r="S47" t="s">
        <v>47</v>
      </c>
      <c r="T47">
        <f t="shared" si="2"/>
        <v>0</v>
      </c>
      <c r="U47" t="str">
        <f t="shared" si="3"/>
        <v>0-6 Months</v>
      </c>
    </row>
    <row r="48" spans="1:21">
      <c r="A48" t="s">
        <v>165</v>
      </c>
      <c r="B48" t="s">
        <v>166</v>
      </c>
      <c r="C48" s="2" t="s">
        <v>167</v>
      </c>
      <c r="D48" s="2" t="str">
        <f t="shared" si="0"/>
        <v>Ese Simmons</v>
      </c>
      <c r="E48">
        <v>67</v>
      </c>
      <c r="F48" s="3" t="str">
        <f t="shared" si="1"/>
        <v>60-69</v>
      </c>
      <c r="G48" t="s">
        <v>136</v>
      </c>
      <c r="H48" t="s">
        <v>43</v>
      </c>
      <c r="I48" t="s">
        <v>26</v>
      </c>
      <c r="J48">
        <v>4</v>
      </c>
      <c r="K48" t="s">
        <v>155</v>
      </c>
      <c r="L48">
        <v>13</v>
      </c>
      <c r="M48" t="s">
        <v>143</v>
      </c>
      <c r="N48">
        <v>75000</v>
      </c>
      <c r="O48">
        <v>1</v>
      </c>
      <c r="P48">
        <v>75000</v>
      </c>
      <c r="Q48">
        <v>109.81</v>
      </c>
      <c r="R48" t="s">
        <v>46</v>
      </c>
      <c r="S48" t="s">
        <v>47</v>
      </c>
      <c r="T48">
        <f t="shared" si="2"/>
        <v>0</v>
      </c>
      <c r="U48" t="str">
        <f t="shared" si="3"/>
        <v>13-24 Months</v>
      </c>
    </row>
    <row r="49" spans="1:21">
      <c r="A49" t="s">
        <v>168</v>
      </c>
      <c r="B49" t="s">
        <v>169</v>
      </c>
      <c r="C49" s="2" t="s">
        <v>170</v>
      </c>
      <c r="D49" s="2" t="str">
        <f t="shared" si="0"/>
        <v>Maryam Reyes</v>
      </c>
      <c r="E49">
        <v>52</v>
      </c>
      <c r="F49" s="3" t="str">
        <f t="shared" si="1"/>
        <v>50-59</v>
      </c>
      <c r="G49" t="s">
        <v>102</v>
      </c>
      <c r="H49" t="s">
        <v>25</v>
      </c>
      <c r="I49" t="s">
        <v>36</v>
      </c>
      <c r="J49">
        <v>4</v>
      </c>
      <c r="K49" t="s">
        <v>155</v>
      </c>
      <c r="L49">
        <v>51</v>
      </c>
      <c r="M49" t="s">
        <v>57</v>
      </c>
      <c r="N49">
        <v>4500</v>
      </c>
      <c r="O49">
        <v>10</v>
      </c>
      <c r="P49">
        <v>45000</v>
      </c>
      <c r="Q49">
        <v>131.94</v>
      </c>
      <c r="R49" t="s">
        <v>46</v>
      </c>
      <c r="S49" t="s">
        <v>47</v>
      </c>
      <c r="T49">
        <f t="shared" si="2"/>
        <v>0</v>
      </c>
      <c r="U49" t="str">
        <f t="shared" si="3"/>
        <v>24+ Months</v>
      </c>
    </row>
    <row r="50" spans="1:21">
      <c r="A50" t="s">
        <v>171</v>
      </c>
      <c r="B50" t="s">
        <v>169</v>
      </c>
      <c r="C50" s="2" t="s">
        <v>170</v>
      </c>
      <c r="D50" s="2" t="str">
        <f t="shared" si="0"/>
        <v>Maryam Reyes</v>
      </c>
      <c r="E50">
        <v>52</v>
      </c>
      <c r="F50" s="3" t="str">
        <f t="shared" si="1"/>
        <v>50-59</v>
      </c>
      <c r="G50" t="s">
        <v>102</v>
      </c>
      <c r="H50" t="s">
        <v>43</v>
      </c>
      <c r="I50" t="s">
        <v>36</v>
      </c>
      <c r="J50">
        <v>4</v>
      </c>
      <c r="K50" t="s">
        <v>155</v>
      </c>
      <c r="L50">
        <v>51</v>
      </c>
      <c r="M50" t="s">
        <v>156</v>
      </c>
      <c r="N50">
        <v>25000</v>
      </c>
      <c r="O50">
        <v>8</v>
      </c>
      <c r="P50">
        <v>200000</v>
      </c>
      <c r="Q50">
        <v>19.13</v>
      </c>
      <c r="R50" t="s">
        <v>46</v>
      </c>
      <c r="S50" t="s">
        <v>47</v>
      </c>
      <c r="T50">
        <f t="shared" si="2"/>
        <v>0</v>
      </c>
      <c r="U50" t="str">
        <f t="shared" si="3"/>
        <v>24+ Months</v>
      </c>
    </row>
    <row r="51" spans="1:21">
      <c r="A51" t="s">
        <v>172</v>
      </c>
      <c r="B51" t="s">
        <v>169</v>
      </c>
      <c r="C51" s="2" t="s">
        <v>170</v>
      </c>
      <c r="D51" s="2" t="str">
        <f t="shared" si="0"/>
        <v>Maryam Reyes</v>
      </c>
      <c r="E51">
        <v>52</v>
      </c>
      <c r="F51" s="3" t="str">
        <f t="shared" si="1"/>
        <v>50-59</v>
      </c>
      <c r="G51" t="s">
        <v>102</v>
      </c>
      <c r="H51" t="s">
        <v>35</v>
      </c>
      <c r="I51" t="s">
        <v>36</v>
      </c>
      <c r="J51">
        <v>4</v>
      </c>
      <c r="K51" t="s">
        <v>155</v>
      </c>
      <c r="L51">
        <v>51</v>
      </c>
      <c r="M51" t="s">
        <v>49</v>
      </c>
      <c r="N51">
        <v>500</v>
      </c>
      <c r="O51">
        <v>7</v>
      </c>
      <c r="P51">
        <v>3500</v>
      </c>
      <c r="Q51">
        <v>45.32</v>
      </c>
      <c r="R51" t="s">
        <v>46</v>
      </c>
      <c r="S51" t="s">
        <v>47</v>
      </c>
      <c r="T51">
        <f t="shared" si="2"/>
        <v>0</v>
      </c>
      <c r="U51" t="str">
        <f t="shared" si="3"/>
        <v>24+ Months</v>
      </c>
    </row>
    <row r="52" spans="1:21">
      <c r="A52" t="s">
        <v>173</v>
      </c>
      <c r="B52" t="s">
        <v>134</v>
      </c>
      <c r="C52" s="2" t="s">
        <v>174</v>
      </c>
      <c r="D52" s="2" t="str">
        <f t="shared" si="0"/>
        <v>Obinna Sanchez</v>
      </c>
      <c r="E52">
        <v>19</v>
      </c>
      <c r="F52" s="3" t="str">
        <f t="shared" si="1"/>
        <v>10-19</v>
      </c>
      <c r="G52" t="s">
        <v>175</v>
      </c>
      <c r="H52" t="s">
        <v>35</v>
      </c>
      <c r="I52" t="s">
        <v>26</v>
      </c>
      <c r="J52">
        <v>4</v>
      </c>
      <c r="K52" t="s">
        <v>155</v>
      </c>
      <c r="L52">
        <v>31</v>
      </c>
      <c r="M52" t="s">
        <v>57</v>
      </c>
      <c r="N52">
        <v>4500</v>
      </c>
      <c r="O52">
        <v>5</v>
      </c>
      <c r="P52">
        <v>22500</v>
      </c>
      <c r="Q52">
        <v>80.23</v>
      </c>
      <c r="R52" t="s">
        <v>46</v>
      </c>
      <c r="S52" t="s">
        <v>47</v>
      </c>
      <c r="T52">
        <f t="shared" si="2"/>
        <v>0</v>
      </c>
      <c r="U52" t="str">
        <f t="shared" si="3"/>
        <v>24+ Months</v>
      </c>
    </row>
    <row r="53" spans="1:21">
      <c r="A53" t="s">
        <v>176</v>
      </c>
      <c r="B53" t="s">
        <v>134</v>
      </c>
      <c r="C53" s="2" t="s">
        <v>174</v>
      </c>
      <c r="D53" s="2" t="str">
        <f t="shared" si="0"/>
        <v>Obinna Sanchez</v>
      </c>
      <c r="E53">
        <v>19</v>
      </c>
      <c r="F53" s="3" t="str">
        <f t="shared" si="1"/>
        <v>10-19</v>
      </c>
      <c r="G53" t="s">
        <v>175</v>
      </c>
      <c r="H53" t="s">
        <v>35</v>
      </c>
      <c r="I53" t="s">
        <v>26</v>
      </c>
      <c r="J53">
        <v>4</v>
      </c>
      <c r="K53" t="s">
        <v>155</v>
      </c>
      <c r="L53">
        <v>31</v>
      </c>
      <c r="M53" t="s">
        <v>137</v>
      </c>
      <c r="N53">
        <v>900</v>
      </c>
      <c r="O53">
        <v>4</v>
      </c>
      <c r="P53">
        <v>3600</v>
      </c>
      <c r="Q53">
        <v>178.59</v>
      </c>
      <c r="R53" t="s">
        <v>46</v>
      </c>
      <c r="S53" t="s">
        <v>47</v>
      </c>
      <c r="T53">
        <f t="shared" si="2"/>
        <v>0</v>
      </c>
      <c r="U53" t="str">
        <f t="shared" si="3"/>
        <v>24+ Months</v>
      </c>
    </row>
    <row r="54" spans="1:21">
      <c r="A54" t="s">
        <v>177</v>
      </c>
      <c r="B54" t="s">
        <v>75</v>
      </c>
      <c r="C54" s="2" t="s">
        <v>178</v>
      </c>
      <c r="D54" s="2" t="str">
        <f t="shared" si="0"/>
        <v>Boma Franco</v>
      </c>
      <c r="E54">
        <v>44</v>
      </c>
      <c r="F54" s="3" t="str">
        <f t="shared" si="1"/>
        <v>40-49</v>
      </c>
      <c r="G54" t="s">
        <v>179</v>
      </c>
      <c r="H54" t="s">
        <v>43</v>
      </c>
      <c r="I54" t="s">
        <v>36</v>
      </c>
      <c r="J54">
        <v>1</v>
      </c>
      <c r="K54" t="s">
        <v>44</v>
      </c>
      <c r="L54">
        <v>4</v>
      </c>
      <c r="M54" t="s">
        <v>143</v>
      </c>
      <c r="N54">
        <v>75000</v>
      </c>
      <c r="O54">
        <v>18</v>
      </c>
      <c r="P54">
        <v>1350000</v>
      </c>
      <c r="Q54">
        <v>166.2</v>
      </c>
      <c r="R54" t="s">
        <v>46</v>
      </c>
      <c r="S54" t="s">
        <v>47</v>
      </c>
      <c r="T54">
        <f t="shared" si="2"/>
        <v>0</v>
      </c>
      <c r="U54" t="str">
        <f t="shared" si="3"/>
        <v>0-6 Months</v>
      </c>
    </row>
    <row r="55" spans="1:21">
      <c r="A55" t="s">
        <v>180</v>
      </c>
      <c r="B55" t="s">
        <v>75</v>
      </c>
      <c r="C55" s="2" t="s">
        <v>178</v>
      </c>
      <c r="D55" s="2" t="str">
        <f t="shared" si="0"/>
        <v>Boma Franco</v>
      </c>
      <c r="E55">
        <v>44</v>
      </c>
      <c r="F55" s="3" t="str">
        <f t="shared" si="1"/>
        <v>40-49</v>
      </c>
      <c r="G55" t="s">
        <v>179</v>
      </c>
      <c r="H55" t="s">
        <v>25</v>
      </c>
      <c r="I55" t="s">
        <v>36</v>
      </c>
      <c r="J55">
        <v>1</v>
      </c>
      <c r="K55" t="s">
        <v>44</v>
      </c>
      <c r="L55">
        <v>4</v>
      </c>
      <c r="M55" t="s">
        <v>28</v>
      </c>
      <c r="N55">
        <v>35000</v>
      </c>
      <c r="O55">
        <v>16</v>
      </c>
      <c r="P55">
        <v>560000</v>
      </c>
      <c r="Q55">
        <v>179.49</v>
      </c>
      <c r="R55" t="s">
        <v>46</v>
      </c>
      <c r="S55" t="s">
        <v>47</v>
      </c>
      <c r="T55">
        <f t="shared" si="2"/>
        <v>0</v>
      </c>
      <c r="U55" t="str">
        <f t="shared" si="3"/>
        <v>0-6 Months</v>
      </c>
    </row>
    <row r="56" spans="1:21" hidden="1">
      <c r="A56" t="s">
        <v>181</v>
      </c>
      <c r="B56" t="s">
        <v>182</v>
      </c>
      <c r="C56" s="2" t="s">
        <v>183</v>
      </c>
      <c r="D56" s="2" t="str">
        <f t="shared" si="0"/>
        <v>Alabo Davis</v>
      </c>
      <c r="E56">
        <v>49</v>
      </c>
      <c r="F56" s="3" t="str">
        <f t="shared" si="1"/>
        <v>40-49</v>
      </c>
      <c r="G56" t="s">
        <v>89</v>
      </c>
      <c r="H56" t="s">
        <v>43</v>
      </c>
      <c r="I56" t="s">
        <v>36</v>
      </c>
      <c r="J56">
        <v>2</v>
      </c>
      <c r="K56" t="s">
        <v>27</v>
      </c>
      <c r="L56">
        <v>50</v>
      </c>
      <c r="M56" t="s">
        <v>156</v>
      </c>
      <c r="N56">
        <v>25000</v>
      </c>
      <c r="O56">
        <v>18</v>
      </c>
      <c r="P56">
        <v>450000</v>
      </c>
      <c r="Q56">
        <v>64.28</v>
      </c>
      <c r="R56" t="s">
        <v>29</v>
      </c>
      <c r="S56" t="s">
        <v>97</v>
      </c>
      <c r="T56">
        <f t="shared" si="2"/>
        <v>450000</v>
      </c>
      <c r="U56" t="str">
        <f t="shared" si="3"/>
        <v>24+ Months</v>
      </c>
    </row>
    <row r="57" spans="1:21" hidden="1">
      <c r="A57" t="s">
        <v>184</v>
      </c>
      <c r="B57" t="s">
        <v>182</v>
      </c>
      <c r="C57" s="2" t="s">
        <v>183</v>
      </c>
      <c r="D57" s="2" t="str">
        <f t="shared" si="0"/>
        <v>Alabo Davis</v>
      </c>
      <c r="E57">
        <v>49</v>
      </c>
      <c r="F57" s="3" t="str">
        <f t="shared" si="1"/>
        <v>40-49</v>
      </c>
      <c r="G57" t="s">
        <v>89</v>
      </c>
      <c r="H57" t="s">
        <v>51</v>
      </c>
      <c r="I57" t="s">
        <v>36</v>
      </c>
      <c r="J57">
        <v>2</v>
      </c>
      <c r="K57" t="s">
        <v>27</v>
      </c>
      <c r="L57">
        <v>50</v>
      </c>
      <c r="M57" t="s">
        <v>52</v>
      </c>
      <c r="N57">
        <v>9000</v>
      </c>
      <c r="O57">
        <v>8</v>
      </c>
      <c r="P57">
        <v>72000</v>
      </c>
      <c r="Q57">
        <v>28.11</v>
      </c>
      <c r="R57" t="s">
        <v>29</v>
      </c>
      <c r="S57" t="s">
        <v>97</v>
      </c>
      <c r="T57">
        <f t="shared" si="2"/>
        <v>72000</v>
      </c>
      <c r="U57" t="str">
        <f t="shared" si="3"/>
        <v>24+ Months</v>
      </c>
    </row>
    <row r="58" spans="1:21" hidden="1">
      <c r="A58" t="s">
        <v>185</v>
      </c>
      <c r="B58" t="s">
        <v>182</v>
      </c>
      <c r="C58" s="2" t="s">
        <v>183</v>
      </c>
      <c r="D58" s="2" t="str">
        <f t="shared" si="0"/>
        <v>Alabo Davis</v>
      </c>
      <c r="E58">
        <v>49</v>
      </c>
      <c r="F58" s="3" t="str">
        <f t="shared" si="1"/>
        <v>40-49</v>
      </c>
      <c r="G58" t="s">
        <v>89</v>
      </c>
      <c r="H58" t="s">
        <v>25</v>
      </c>
      <c r="I58" t="s">
        <v>36</v>
      </c>
      <c r="J58">
        <v>2</v>
      </c>
      <c r="K58" t="s">
        <v>27</v>
      </c>
      <c r="L58">
        <v>50</v>
      </c>
      <c r="M58" t="s">
        <v>28</v>
      </c>
      <c r="N58">
        <v>35000</v>
      </c>
      <c r="O58">
        <v>7</v>
      </c>
      <c r="P58">
        <v>245000</v>
      </c>
      <c r="Q58">
        <v>138.94</v>
      </c>
      <c r="R58" t="s">
        <v>29</v>
      </c>
      <c r="S58" t="s">
        <v>97</v>
      </c>
      <c r="T58">
        <f t="shared" si="2"/>
        <v>245000</v>
      </c>
      <c r="U58" t="str">
        <f t="shared" si="3"/>
        <v>24+ Months</v>
      </c>
    </row>
    <row r="59" spans="1:21" hidden="1">
      <c r="A59" t="s">
        <v>186</v>
      </c>
      <c r="B59" t="s">
        <v>121</v>
      </c>
      <c r="C59" s="2" t="s">
        <v>187</v>
      </c>
      <c r="D59" s="2" t="str">
        <f t="shared" si="0"/>
        <v>Kunle West</v>
      </c>
      <c r="E59">
        <v>69</v>
      </c>
      <c r="F59" s="3" t="str">
        <f t="shared" si="1"/>
        <v>60-69</v>
      </c>
      <c r="G59" t="s">
        <v>151</v>
      </c>
      <c r="H59" t="s">
        <v>35</v>
      </c>
      <c r="I59" t="s">
        <v>36</v>
      </c>
      <c r="J59">
        <v>4</v>
      </c>
      <c r="K59" t="s">
        <v>155</v>
      </c>
      <c r="L59">
        <v>35</v>
      </c>
      <c r="M59" t="s">
        <v>137</v>
      </c>
      <c r="N59">
        <v>900</v>
      </c>
      <c r="O59">
        <v>19</v>
      </c>
      <c r="P59">
        <v>17100</v>
      </c>
      <c r="Q59">
        <v>171.42</v>
      </c>
      <c r="R59" t="s">
        <v>29</v>
      </c>
      <c r="S59" t="s">
        <v>38</v>
      </c>
      <c r="T59">
        <f t="shared" si="2"/>
        <v>17100</v>
      </c>
      <c r="U59" t="str">
        <f t="shared" si="3"/>
        <v>24+ Months</v>
      </c>
    </row>
    <row r="60" spans="1:21" hidden="1">
      <c r="A60" t="s">
        <v>188</v>
      </c>
      <c r="B60" t="s">
        <v>121</v>
      </c>
      <c r="C60" s="2" t="s">
        <v>187</v>
      </c>
      <c r="D60" s="2" t="str">
        <f t="shared" si="0"/>
        <v>Kunle West</v>
      </c>
      <c r="E60">
        <v>69</v>
      </c>
      <c r="F60" s="3" t="str">
        <f t="shared" si="1"/>
        <v>60-69</v>
      </c>
      <c r="G60" t="s">
        <v>151</v>
      </c>
      <c r="H60" t="s">
        <v>43</v>
      </c>
      <c r="I60" t="s">
        <v>36</v>
      </c>
      <c r="J60">
        <v>4</v>
      </c>
      <c r="K60" t="s">
        <v>155</v>
      </c>
      <c r="L60">
        <v>35</v>
      </c>
      <c r="M60" t="s">
        <v>143</v>
      </c>
      <c r="N60">
        <v>75000</v>
      </c>
      <c r="O60">
        <v>12</v>
      </c>
      <c r="P60">
        <v>900000</v>
      </c>
      <c r="Q60">
        <v>95.66</v>
      </c>
      <c r="R60" t="s">
        <v>29</v>
      </c>
      <c r="S60" t="s">
        <v>38</v>
      </c>
      <c r="T60">
        <f t="shared" si="2"/>
        <v>900000</v>
      </c>
      <c r="U60" t="str">
        <f t="shared" si="3"/>
        <v>24+ Months</v>
      </c>
    </row>
    <row r="61" spans="1:21">
      <c r="A61" t="s">
        <v>189</v>
      </c>
      <c r="B61" t="s">
        <v>169</v>
      </c>
      <c r="C61" s="2" t="s">
        <v>190</v>
      </c>
      <c r="D61" s="2" t="str">
        <f t="shared" si="0"/>
        <v>Maryam Terry</v>
      </c>
      <c r="E61">
        <v>65</v>
      </c>
      <c r="F61" s="3" t="str">
        <f t="shared" si="1"/>
        <v>60-69</v>
      </c>
      <c r="G61" t="s">
        <v>151</v>
      </c>
      <c r="H61" t="s">
        <v>35</v>
      </c>
      <c r="I61" t="s">
        <v>26</v>
      </c>
      <c r="J61">
        <v>3</v>
      </c>
      <c r="K61" t="s">
        <v>62</v>
      </c>
      <c r="L61">
        <v>32</v>
      </c>
      <c r="M61" t="s">
        <v>69</v>
      </c>
      <c r="N61">
        <v>3500</v>
      </c>
      <c r="O61">
        <v>13</v>
      </c>
      <c r="P61">
        <v>45500</v>
      </c>
      <c r="Q61">
        <v>133.94</v>
      </c>
      <c r="R61" t="s">
        <v>46</v>
      </c>
      <c r="S61" t="s">
        <v>47</v>
      </c>
      <c r="T61">
        <f t="shared" si="2"/>
        <v>0</v>
      </c>
      <c r="U61" t="str">
        <f t="shared" si="3"/>
        <v>24+ Months</v>
      </c>
    </row>
    <row r="62" spans="1:21">
      <c r="A62" t="s">
        <v>191</v>
      </c>
      <c r="B62" t="s">
        <v>192</v>
      </c>
      <c r="C62" s="2" t="s">
        <v>193</v>
      </c>
      <c r="D62" s="2" t="str">
        <f t="shared" si="0"/>
        <v>Amina Mosley</v>
      </c>
      <c r="E62">
        <v>75</v>
      </c>
      <c r="F62" s="3" t="str">
        <f t="shared" si="1"/>
        <v>70-79</v>
      </c>
      <c r="G62" t="s">
        <v>194</v>
      </c>
      <c r="H62" t="s">
        <v>51</v>
      </c>
      <c r="I62" t="s">
        <v>26</v>
      </c>
      <c r="J62">
        <v>5</v>
      </c>
      <c r="K62" t="s">
        <v>68</v>
      </c>
      <c r="L62">
        <v>59</v>
      </c>
      <c r="M62" t="s">
        <v>91</v>
      </c>
      <c r="N62">
        <v>14500</v>
      </c>
      <c r="O62">
        <v>15</v>
      </c>
      <c r="P62">
        <v>217500</v>
      </c>
      <c r="Q62">
        <v>27.57</v>
      </c>
      <c r="R62" t="s">
        <v>46</v>
      </c>
      <c r="S62" t="s">
        <v>47</v>
      </c>
      <c r="T62">
        <f t="shared" si="2"/>
        <v>0</v>
      </c>
      <c r="U62" t="str">
        <f t="shared" si="3"/>
        <v>24+ Months</v>
      </c>
    </row>
    <row r="63" spans="1:21">
      <c r="A63" t="s">
        <v>195</v>
      </c>
      <c r="B63" t="s">
        <v>149</v>
      </c>
      <c r="C63" s="2" t="s">
        <v>196</v>
      </c>
      <c r="D63" s="2" t="str">
        <f t="shared" si="0"/>
        <v>Shehu Anderson</v>
      </c>
      <c r="E63">
        <v>22</v>
      </c>
      <c r="F63" s="3" t="str">
        <f t="shared" si="1"/>
        <v>20-29</v>
      </c>
      <c r="G63" t="s">
        <v>197</v>
      </c>
      <c r="H63" t="s">
        <v>43</v>
      </c>
      <c r="I63" t="s">
        <v>36</v>
      </c>
      <c r="J63">
        <v>4</v>
      </c>
      <c r="K63" t="s">
        <v>155</v>
      </c>
      <c r="L63">
        <v>21</v>
      </c>
      <c r="M63" t="s">
        <v>78</v>
      </c>
      <c r="N63">
        <v>24000</v>
      </c>
      <c r="O63">
        <v>16</v>
      </c>
      <c r="P63">
        <v>384000</v>
      </c>
      <c r="Q63">
        <v>167.06</v>
      </c>
      <c r="R63" t="s">
        <v>46</v>
      </c>
      <c r="S63" t="s">
        <v>47</v>
      </c>
      <c r="T63">
        <f t="shared" si="2"/>
        <v>0</v>
      </c>
      <c r="U63" t="str">
        <f t="shared" si="3"/>
        <v>13-24 Months</v>
      </c>
    </row>
    <row r="64" spans="1:21">
      <c r="A64" t="s">
        <v>198</v>
      </c>
      <c r="B64" t="s">
        <v>149</v>
      </c>
      <c r="C64" s="2" t="s">
        <v>196</v>
      </c>
      <c r="D64" s="2" t="str">
        <f t="shared" si="0"/>
        <v>Shehu Anderson</v>
      </c>
      <c r="E64">
        <v>22</v>
      </c>
      <c r="F64" s="3" t="str">
        <f t="shared" si="1"/>
        <v>20-29</v>
      </c>
      <c r="G64" t="s">
        <v>197</v>
      </c>
      <c r="H64" t="s">
        <v>35</v>
      </c>
      <c r="I64" t="s">
        <v>36</v>
      </c>
      <c r="J64">
        <v>4</v>
      </c>
      <c r="K64" t="s">
        <v>155</v>
      </c>
      <c r="L64">
        <v>21</v>
      </c>
      <c r="M64" t="s">
        <v>73</v>
      </c>
      <c r="N64">
        <v>16000</v>
      </c>
      <c r="O64">
        <v>2</v>
      </c>
      <c r="P64">
        <v>32000</v>
      </c>
      <c r="Q64">
        <v>149.93</v>
      </c>
      <c r="R64" t="s">
        <v>46</v>
      </c>
      <c r="S64" t="s">
        <v>47</v>
      </c>
      <c r="T64">
        <f t="shared" si="2"/>
        <v>0</v>
      </c>
      <c r="U64" t="str">
        <f t="shared" si="3"/>
        <v>13-24 Months</v>
      </c>
    </row>
    <row r="65" spans="1:21" hidden="1">
      <c r="A65" t="s">
        <v>199</v>
      </c>
      <c r="B65" t="s">
        <v>146</v>
      </c>
      <c r="C65" s="2" t="s">
        <v>200</v>
      </c>
      <c r="D65" s="2" t="str">
        <f t="shared" si="0"/>
        <v>Oghene Mcguire</v>
      </c>
      <c r="E65">
        <v>44</v>
      </c>
      <c r="F65" s="3" t="str">
        <f t="shared" si="1"/>
        <v>40-49</v>
      </c>
      <c r="G65" t="s">
        <v>201</v>
      </c>
      <c r="H65" t="s">
        <v>25</v>
      </c>
      <c r="I65" t="s">
        <v>26</v>
      </c>
      <c r="J65">
        <v>2</v>
      </c>
      <c r="K65" t="s">
        <v>27</v>
      </c>
      <c r="L65">
        <v>49</v>
      </c>
      <c r="M65" t="s">
        <v>28</v>
      </c>
      <c r="N65">
        <v>35000</v>
      </c>
      <c r="O65">
        <v>19</v>
      </c>
      <c r="P65">
        <v>665000</v>
      </c>
      <c r="Q65">
        <v>134.06</v>
      </c>
      <c r="R65" t="s">
        <v>29</v>
      </c>
      <c r="S65" t="s">
        <v>97</v>
      </c>
      <c r="T65">
        <f t="shared" si="2"/>
        <v>665000</v>
      </c>
      <c r="U65" t="str">
        <f t="shared" si="3"/>
        <v>24+ Months</v>
      </c>
    </row>
    <row r="66" spans="1:21" hidden="1">
      <c r="A66" t="s">
        <v>202</v>
      </c>
      <c r="B66" t="s">
        <v>146</v>
      </c>
      <c r="C66" s="2" t="s">
        <v>200</v>
      </c>
      <c r="D66" s="2" t="str">
        <f t="shared" si="0"/>
        <v>Oghene Mcguire</v>
      </c>
      <c r="E66">
        <v>44</v>
      </c>
      <c r="F66" s="3" t="str">
        <f t="shared" si="1"/>
        <v>40-49</v>
      </c>
      <c r="G66" t="s">
        <v>201</v>
      </c>
      <c r="H66" t="s">
        <v>51</v>
      </c>
      <c r="I66" t="s">
        <v>26</v>
      </c>
      <c r="J66">
        <v>2</v>
      </c>
      <c r="K66" t="s">
        <v>27</v>
      </c>
      <c r="L66">
        <v>49</v>
      </c>
      <c r="M66" t="s">
        <v>45</v>
      </c>
      <c r="N66">
        <v>20000</v>
      </c>
      <c r="O66">
        <v>9</v>
      </c>
      <c r="P66">
        <v>180000</v>
      </c>
      <c r="Q66">
        <v>93.27</v>
      </c>
      <c r="R66" t="s">
        <v>29</v>
      </c>
      <c r="S66" t="s">
        <v>97</v>
      </c>
      <c r="T66">
        <f t="shared" si="2"/>
        <v>180000</v>
      </c>
      <c r="U66" t="str">
        <f t="shared" si="3"/>
        <v>24+ Months</v>
      </c>
    </row>
    <row r="67" spans="1:21" hidden="1">
      <c r="A67" t="s">
        <v>203</v>
      </c>
      <c r="B67" t="s">
        <v>146</v>
      </c>
      <c r="C67" s="2" t="s">
        <v>200</v>
      </c>
      <c r="D67" s="2" t="str">
        <f t="shared" ref="D67:D130" si="4">B67&amp;" "&amp;C67</f>
        <v>Oghene Mcguire</v>
      </c>
      <c r="E67">
        <v>44</v>
      </c>
      <c r="F67" s="3" t="str">
        <f t="shared" ref="F67:F130" si="5">FLOOR(E67, 10)&amp;"-"&amp;FLOOR(E67, 10)+9</f>
        <v>40-49</v>
      </c>
      <c r="G67" t="s">
        <v>201</v>
      </c>
      <c r="H67" t="s">
        <v>43</v>
      </c>
      <c r="I67" t="s">
        <v>26</v>
      </c>
      <c r="J67">
        <v>2</v>
      </c>
      <c r="K67" t="s">
        <v>27</v>
      </c>
      <c r="L67">
        <v>49</v>
      </c>
      <c r="M67" t="s">
        <v>156</v>
      </c>
      <c r="N67">
        <v>25000</v>
      </c>
      <c r="O67">
        <v>20</v>
      </c>
      <c r="P67">
        <v>500000</v>
      </c>
      <c r="Q67">
        <v>33.97</v>
      </c>
      <c r="R67" t="s">
        <v>29</v>
      </c>
      <c r="S67" t="s">
        <v>97</v>
      </c>
      <c r="T67">
        <f t="shared" ref="T67:T130" si="6">IF(R67="Yes",P67,0)</f>
        <v>500000</v>
      </c>
      <c r="U67" t="str">
        <f t="shared" ref="U67:U130" si="7">IF(L67&lt;=6,"0-6 Months",
IF(L67&lt;=12,"7-12 Months",
IF(L67&lt;=24,"13-24 Months","24+ Months")))</f>
        <v>24+ Months</v>
      </c>
    </row>
    <row r="68" spans="1:21">
      <c r="A68" t="s">
        <v>204</v>
      </c>
      <c r="B68" t="s">
        <v>80</v>
      </c>
      <c r="C68" s="2" t="s">
        <v>205</v>
      </c>
      <c r="D68" s="2" t="str">
        <f t="shared" si="4"/>
        <v>Ifeanyi Randall</v>
      </c>
      <c r="E68">
        <v>36</v>
      </c>
      <c r="F68" s="3" t="str">
        <f t="shared" si="5"/>
        <v>30-39</v>
      </c>
      <c r="G68" t="s">
        <v>206</v>
      </c>
      <c r="H68" t="s">
        <v>35</v>
      </c>
      <c r="I68" t="s">
        <v>26</v>
      </c>
      <c r="J68">
        <v>3</v>
      </c>
      <c r="K68" t="s">
        <v>62</v>
      </c>
      <c r="L68">
        <v>38</v>
      </c>
      <c r="M68" t="s">
        <v>93</v>
      </c>
      <c r="N68">
        <v>350</v>
      </c>
      <c r="O68">
        <v>8</v>
      </c>
      <c r="P68">
        <v>2800</v>
      </c>
      <c r="Q68">
        <v>15.66</v>
      </c>
      <c r="R68" t="s">
        <v>46</v>
      </c>
      <c r="S68" t="s">
        <v>47</v>
      </c>
      <c r="T68">
        <f t="shared" si="6"/>
        <v>0</v>
      </c>
      <c r="U68" t="str">
        <f t="shared" si="7"/>
        <v>24+ Months</v>
      </c>
    </row>
    <row r="69" spans="1:21">
      <c r="A69" t="s">
        <v>207</v>
      </c>
      <c r="B69" t="s">
        <v>80</v>
      </c>
      <c r="C69" s="2" t="s">
        <v>205</v>
      </c>
      <c r="D69" s="2" t="str">
        <f t="shared" si="4"/>
        <v>Ifeanyi Randall</v>
      </c>
      <c r="E69">
        <v>36</v>
      </c>
      <c r="F69" s="3" t="str">
        <f t="shared" si="5"/>
        <v>30-39</v>
      </c>
      <c r="G69" t="s">
        <v>206</v>
      </c>
      <c r="H69" t="s">
        <v>43</v>
      </c>
      <c r="I69" t="s">
        <v>26</v>
      </c>
      <c r="J69">
        <v>3</v>
      </c>
      <c r="K69" t="s">
        <v>62</v>
      </c>
      <c r="L69">
        <v>38</v>
      </c>
      <c r="M69" t="s">
        <v>45</v>
      </c>
      <c r="N69">
        <v>20000</v>
      </c>
      <c r="O69">
        <v>10</v>
      </c>
      <c r="P69">
        <v>200000</v>
      </c>
      <c r="Q69">
        <v>139.59</v>
      </c>
      <c r="R69" t="s">
        <v>46</v>
      </c>
      <c r="S69" t="s">
        <v>47</v>
      </c>
      <c r="T69">
        <f t="shared" si="6"/>
        <v>0</v>
      </c>
      <c r="U69" t="str">
        <f t="shared" si="7"/>
        <v>24+ Months</v>
      </c>
    </row>
    <row r="70" spans="1:21">
      <c r="A70" t="s">
        <v>208</v>
      </c>
      <c r="B70" t="s">
        <v>80</v>
      </c>
      <c r="C70" s="2" t="s">
        <v>209</v>
      </c>
      <c r="D70" s="2" t="str">
        <f t="shared" si="4"/>
        <v>Ifeanyi Ruiz</v>
      </c>
      <c r="E70">
        <v>21</v>
      </c>
      <c r="F70" s="3" t="str">
        <f t="shared" si="5"/>
        <v>20-29</v>
      </c>
      <c r="G70" t="s">
        <v>210</v>
      </c>
      <c r="H70" t="s">
        <v>51</v>
      </c>
      <c r="I70" t="s">
        <v>36</v>
      </c>
      <c r="J70">
        <v>1</v>
      </c>
      <c r="K70" t="s">
        <v>44</v>
      </c>
      <c r="L70">
        <v>43</v>
      </c>
      <c r="M70" t="s">
        <v>91</v>
      </c>
      <c r="N70">
        <v>14500</v>
      </c>
      <c r="O70">
        <v>12</v>
      </c>
      <c r="P70">
        <v>174000</v>
      </c>
      <c r="Q70">
        <v>21.56</v>
      </c>
      <c r="R70" t="s">
        <v>46</v>
      </c>
      <c r="S70" t="s">
        <v>47</v>
      </c>
      <c r="T70">
        <f t="shared" si="6"/>
        <v>0</v>
      </c>
      <c r="U70" t="str">
        <f t="shared" si="7"/>
        <v>24+ Months</v>
      </c>
    </row>
    <row r="71" spans="1:21">
      <c r="A71" t="s">
        <v>211</v>
      </c>
      <c r="B71" t="s">
        <v>80</v>
      </c>
      <c r="C71" s="2" t="s">
        <v>209</v>
      </c>
      <c r="D71" s="2" t="str">
        <f t="shared" si="4"/>
        <v>Ifeanyi Ruiz</v>
      </c>
      <c r="E71">
        <v>21</v>
      </c>
      <c r="F71" s="3" t="str">
        <f t="shared" si="5"/>
        <v>20-29</v>
      </c>
      <c r="G71" t="s">
        <v>210</v>
      </c>
      <c r="H71" t="s">
        <v>25</v>
      </c>
      <c r="I71" t="s">
        <v>36</v>
      </c>
      <c r="J71">
        <v>1</v>
      </c>
      <c r="K71" t="s">
        <v>44</v>
      </c>
      <c r="L71">
        <v>43</v>
      </c>
      <c r="M71" t="s">
        <v>28</v>
      </c>
      <c r="N71">
        <v>35000</v>
      </c>
      <c r="O71">
        <v>14</v>
      </c>
      <c r="P71">
        <v>490000</v>
      </c>
      <c r="Q71">
        <v>141.61000000000001</v>
      </c>
      <c r="R71" t="s">
        <v>46</v>
      </c>
      <c r="S71" t="s">
        <v>47</v>
      </c>
      <c r="T71">
        <f t="shared" si="6"/>
        <v>0</v>
      </c>
      <c r="U71" t="str">
        <f t="shared" si="7"/>
        <v>24+ Months</v>
      </c>
    </row>
    <row r="72" spans="1:21" hidden="1">
      <c r="A72" t="s">
        <v>212</v>
      </c>
      <c r="B72" t="s">
        <v>149</v>
      </c>
      <c r="C72" s="2" t="s">
        <v>205</v>
      </c>
      <c r="D72" s="2" t="str">
        <f t="shared" si="4"/>
        <v>Shehu Randall</v>
      </c>
      <c r="E72">
        <v>50</v>
      </c>
      <c r="F72" s="3" t="str">
        <f t="shared" si="5"/>
        <v>50-59</v>
      </c>
      <c r="G72" t="s">
        <v>111</v>
      </c>
      <c r="H72" t="s">
        <v>51</v>
      </c>
      <c r="I72" t="s">
        <v>36</v>
      </c>
      <c r="J72">
        <v>5</v>
      </c>
      <c r="K72" t="s">
        <v>68</v>
      </c>
      <c r="L72">
        <v>30</v>
      </c>
      <c r="M72" t="s">
        <v>82</v>
      </c>
      <c r="N72">
        <v>30000</v>
      </c>
      <c r="O72">
        <v>8</v>
      </c>
      <c r="P72">
        <v>240000</v>
      </c>
      <c r="Q72">
        <v>176.39</v>
      </c>
      <c r="R72" t="s">
        <v>29</v>
      </c>
      <c r="S72" t="s">
        <v>38</v>
      </c>
      <c r="T72">
        <f t="shared" si="6"/>
        <v>240000</v>
      </c>
      <c r="U72" t="str">
        <f t="shared" si="7"/>
        <v>24+ Months</v>
      </c>
    </row>
    <row r="73" spans="1:21">
      <c r="A73" t="s">
        <v>213</v>
      </c>
      <c r="B73" t="s">
        <v>214</v>
      </c>
      <c r="C73" s="2" t="s">
        <v>215</v>
      </c>
      <c r="D73" s="2" t="str">
        <f t="shared" si="4"/>
        <v>Zina Green</v>
      </c>
      <c r="E73">
        <v>64</v>
      </c>
      <c r="F73" s="3" t="str">
        <f t="shared" si="5"/>
        <v>60-69</v>
      </c>
      <c r="G73" t="s">
        <v>216</v>
      </c>
      <c r="H73" t="s">
        <v>43</v>
      </c>
      <c r="I73" t="s">
        <v>26</v>
      </c>
      <c r="J73">
        <v>2</v>
      </c>
      <c r="K73" t="s">
        <v>27</v>
      </c>
      <c r="L73">
        <v>32</v>
      </c>
      <c r="M73" t="s">
        <v>78</v>
      </c>
      <c r="N73">
        <v>24000</v>
      </c>
      <c r="O73">
        <v>9</v>
      </c>
      <c r="P73">
        <v>216000</v>
      </c>
      <c r="Q73">
        <v>176.12</v>
      </c>
      <c r="R73" t="s">
        <v>46</v>
      </c>
      <c r="S73" t="s">
        <v>47</v>
      </c>
      <c r="T73">
        <f t="shared" si="6"/>
        <v>0</v>
      </c>
      <c r="U73" t="str">
        <f t="shared" si="7"/>
        <v>24+ Months</v>
      </c>
    </row>
    <row r="74" spans="1:21">
      <c r="A74" t="s">
        <v>217</v>
      </c>
      <c r="B74" t="s">
        <v>214</v>
      </c>
      <c r="C74" s="2" t="s">
        <v>215</v>
      </c>
      <c r="D74" s="2" t="str">
        <f t="shared" si="4"/>
        <v>Zina Green</v>
      </c>
      <c r="E74">
        <v>64</v>
      </c>
      <c r="F74" s="3" t="str">
        <f t="shared" si="5"/>
        <v>60-69</v>
      </c>
      <c r="G74" t="s">
        <v>216</v>
      </c>
      <c r="H74" t="s">
        <v>35</v>
      </c>
      <c r="I74" t="s">
        <v>26</v>
      </c>
      <c r="J74">
        <v>2</v>
      </c>
      <c r="K74" t="s">
        <v>27</v>
      </c>
      <c r="L74">
        <v>32</v>
      </c>
      <c r="M74" t="s">
        <v>73</v>
      </c>
      <c r="N74">
        <v>16000</v>
      </c>
      <c r="O74">
        <v>7</v>
      </c>
      <c r="P74">
        <v>112000</v>
      </c>
      <c r="Q74">
        <v>103.57</v>
      </c>
      <c r="R74" t="s">
        <v>46</v>
      </c>
      <c r="S74" t="s">
        <v>47</v>
      </c>
      <c r="T74">
        <f t="shared" si="6"/>
        <v>0</v>
      </c>
      <c r="U74" t="str">
        <f t="shared" si="7"/>
        <v>24+ Months</v>
      </c>
    </row>
    <row r="75" spans="1:21">
      <c r="A75" t="s">
        <v>218</v>
      </c>
      <c r="B75" t="s">
        <v>219</v>
      </c>
      <c r="C75" s="2" t="s">
        <v>209</v>
      </c>
      <c r="D75" s="2" t="str">
        <f t="shared" si="4"/>
        <v>Chinedu Ruiz</v>
      </c>
      <c r="E75">
        <v>46</v>
      </c>
      <c r="F75" s="3" t="str">
        <f t="shared" si="5"/>
        <v>40-49</v>
      </c>
      <c r="G75" t="s">
        <v>151</v>
      </c>
      <c r="H75" t="s">
        <v>35</v>
      </c>
      <c r="I75" t="s">
        <v>36</v>
      </c>
      <c r="J75">
        <v>4</v>
      </c>
      <c r="K75" t="s">
        <v>155</v>
      </c>
      <c r="L75">
        <v>36</v>
      </c>
      <c r="M75" t="s">
        <v>108</v>
      </c>
      <c r="N75">
        <v>1000</v>
      </c>
      <c r="O75">
        <v>13</v>
      </c>
      <c r="P75">
        <v>13000</v>
      </c>
      <c r="Q75">
        <v>59.2</v>
      </c>
      <c r="R75" t="s">
        <v>46</v>
      </c>
      <c r="S75" t="s">
        <v>47</v>
      </c>
      <c r="T75">
        <f t="shared" si="6"/>
        <v>0</v>
      </c>
      <c r="U75" t="str">
        <f t="shared" si="7"/>
        <v>24+ Months</v>
      </c>
    </row>
    <row r="76" spans="1:21">
      <c r="A76" t="s">
        <v>220</v>
      </c>
      <c r="B76" t="s">
        <v>219</v>
      </c>
      <c r="C76" s="2" t="s">
        <v>209</v>
      </c>
      <c r="D76" s="2" t="str">
        <f t="shared" si="4"/>
        <v>Chinedu Ruiz</v>
      </c>
      <c r="E76">
        <v>46</v>
      </c>
      <c r="F76" s="3" t="str">
        <f t="shared" si="5"/>
        <v>40-49</v>
      </c>
      <c r="G76" t="s">
        <v>151</v>
      </c>
      <c r="H76" t="s">
        <v>51</v>
      </c>
      <c r="I76" t="s">
        <v>36</v>
      </c>
      <c r="J76">
        <v>4</v>
      </c>
      <c r="K76" t="s">
        <v>155</v>
      </c>
      <c r="L76">
        <v>36</v>
      </c>
      <c r="M76" t="s">
        <v>45</v>
      </c>
      <c r="N76">
        <v>20000</v>
      </c>
      <c r="O76">
        <v>19</v>
      </c>
      <c r="P76">
        <v>380000</v>
      </c>
      <c r="Q76">
        <v>61.59</v>
      </c>
      <c r="R76" t="s">
        <v>46</v>
      </c>
      <c r="S76" t="s">
        <v>47</v>
      </c>
      <c r="T76">
        <f t="shared" si="6"/>
        <v>0</v>
      </c>
      <c r="U76" t="str">
        <f t="shared" si="7"/>
        <v>24+ Months</v>
      </c>
    </row>
    <row r="77" spans="1:21">
      <c r="A77" t="s">
        <v>221</v>
      </c>
      <c r="B77" t="s">
        <v>54</v>
      </c>
      <c r="C77" s="2" t="s">
        <v>222</v>
      </c>
      <c r="D77" s="2" t="str">
        <f t="shared" si="4"/>
        <v>Ejiro Mason</v>
      </c>
      <c r="E77">
        <v>76</v>
      </c>
      <c r="F77" s="3" t="str">
        <f t="shared" si="5"/>
        <v>70-79</v>
      </c>
      <c r="G77" t="s">
        <v>96</v>
      </c>
      <c r="H77" t="s">
        <v>43</v>
      </c>
      <c r="I77" t="s">
        <v>36</v>
      </c>
      <c r="J77">
        <v>3</v>
      </c>
      <c r="K77" t="s">
        <v>62</v>
      </c>
      <c r="L77">
        <v>28</v>
      </c>
      <c r="M77" t="s">
        <v>91</v>
      </c>
      <c r="N77">
        <v>14500</v>
      </c>
      <c r="O77">
        <v>7</v>
      </c>
      <c r="P77">
        <v>101500</v>
      </c>
      <c r="Q77">
        <v>24.57</v>
      </c>
      <c r="R77" t="s">
        <v>46</v>
      </c>
      <c r="S77" t="s">
        <v>47</v>
      </c>
      <c r="T77">
        <f t="shared" si="6"/>
        <v>0</v>
      </c>
      <c r="U77" t="str">
        <f t="shared" si="7"/>
        <v>24+ Months</v>
      </c>
    </row>
    <row r="78" spans="1:21">
      <c r="A78" t="s">
        <v>223</v>
      </c>
      <c r="B78" t="s">
        <v>54</v>
      </c>
      <c r="C78" s="2" t="s">
        <v>222</v>
      </c>
      <c r="D78" s="2" t="str">
        <f t="shared" si="4"/>
        <v>Ejiro Mason</v>
      </c>
      <c r="E78">
        <v>76</v>
      </c>
      <c r="F78" s="3" t="str">
        <f t="shared" si="5"/>
        <v>70-79</v>
      </c>
      <c r="G78" t="s">
        <v>96</v>
      </c>
      <c r="H78" t="s">
        <v>35</v>
      </c>
      <c r="I78" t="s">
        <v>36</v>
      </c>
      <c r="J78">
        <v>3</v>
      </c>
      <c r="K78" t="s">
        <v>62</v>
      </c>
      <c r="L78">
        <v>28</v>
      </c>
      <c r="M78" t="s">
        <v>63</v>
      </c>
      <c r="N78">
        <v>9000</v>
      </c>
      <c r="O78">
        <v>18</v>
      </c>
      <c r="P78">
        <v>162000</v>
      </c>
      <c r="Q78">
        <v>24.35</v>
      </c>
      <c r="R78" t="s">
        <v>46</v>
      </c>
      <c r="S78" t="s">
        <v>47</v>
      </c>
      <c r="T78">
        <f t="shared" si="6"/>
        <v>0</v>
      </c>
      <c r="U78" t="str">
        <f t="shared" si="7"/>
        <v>24+ Months</v>
      </c>
    </row>
    <row r="79" spans="1:21">
      <c r="A79" t="s">
        <v>224</v>
      </c>
      <c r="B79" t="s">
        <v>149</v>
      </c>
      <c r="C79" s="2" t="s">
        <v>225</v>
      </c>
      <c r="D79" s="2" t="str">
        <f t="shared" si="4"/>
        <v>Shehu Hoffman</v>
      </c>
      <c r="E79">
        <v>40</v>
      </c>
      <c r="F79" s="3" t="str">
        <f t="shared" si="5"/>
        <v>40-49</v>
      </c>
      <c r="G79" t="s">
        <v>102</v>
      </c>
      <c r="H79" t="s">
        <v>25</v>
      </c>
      <c r="I79" t="s">
        <v>36</v>
      </c>
      <c r="J79">
        <v>1</v>
      </c>
      <c r="K79" t="s">
        <v>44</v>
      </c>
      <c r="L79">
        <v>18</v>
      </c>
      <c r="M79" t="s">
        <v>57</v>
      </c>
      <c r="N79">
        <v>4500</v>
      </c>
      <c r="O79">
        <v>18</v>
      </c>
      <c r="P79">
        <v>81000</v>
      </c>
      <c r="Q79">
        <v>60.8</v>
      </c>
      <c r="R79" t="s">
        <v>46</v>
      </c>
      <c r="S79" t="s">
        <v>47</v>
      </c>
      <c r="T79">
        <f t="shared" si="6"/>
        <v>0</v>
      </c>
      <c r="U79" t="str">
        <f t="shared" si="7"/>
        <v>13-24 Months</v>
      </c>
    </row>
    <row r="80" spans="1:21">
      <c r="A80" t="s">
        <v>226</v>
      </c>
      <c r="B80" t="s">
        <v>149</v>
      </c>
      <c r="C80" s="2" t="s">
        <v>225</v>
      </c>
      <c r="D80" s="2" t="str">
        <f t="shared" si="4"/>
        <v>Shehu Hoffman</v>
      </c>
      <c r="E80">
        <v>40</v>
      </c>
      <c r="F80" s="3" t="str">
        <f t="shared" si="5"/>
        <v>40-49</v>
      </c>
      <c r="G80" t="s">
        <v>102</v>
      </c>
      <c r="H80" t="s">
        <v>35</v>
      </c>
      <c r="I80" t="s">
        <v>36</v>
      </c>
      <c r="J80">
        <v>1</v>
      </c>
      <c r="K80" t="s">
        <v>44</v>
      </c>
      <c r="L80">
        <v>18</v>
      </c>
      <c r="M80" t="s">
        <v>227</v>
      </c>
      <c r="N80">
        <v>600</v>
      </c>
      <c r="O80">
        <v>2</v>
      </c>
      <c r="P80">
        <v>1200</v>
      </c>
      <c r="Q80">
        <v>55.23</v>
      </c>
      <c r="R80" t="s">
        <v>46</v>
      </c>
      <c r="S80" t="s">
        <v>47</v>
      </c>
      <c r="T80">
        <f t="shared" si="6"/>
        <v>0</v>
      </c>
      <c r="U80" t="str">
        <f t="shared" si="7"/>
        <v>13-24 Months</v>
      </c>
    </row>
    <row r="81" spans="1:21" hidden="1">
      <c r="A81" t="s">
        <v>228</v>
      </c>
      <c r="B81" t="s">
        <v>115</v>
      </c>
      <c r="C81" s="2" t="s">
        <v>158</v>
      </c>
      <c r="D81" s="2" t="str">
        <f t="shared" si="4"/>
        <v>Abubakar Johnson</v>
      </c>
      <c r="E81">
        <v>32</v>
      </c>
      <c r="F81" s="3" t="str">
        <f t="shared" si="5"/>
        <v>30-39</v>
      </c>
      <c r="G81" t="s">
        <v>117</v>
      </c>
      <c r="H81" t="s">
        <v>43</v>
      </c>
      <c r="I81" t="s">
        <v>26</v>
      </c>
      <c r="J81">
        <v>5</v>
      </c>
      <c r="K81" t="s">
        <v>68</v>
      </c>
      <c r="L81">
        <v>56</v>
      </c>
      <c r="M81" t="s">
        <v>52</v>
      </c>
      <c r="N81">
        <v>9000</v>
      </c>
      <c r="O81">
        <v>16</v>
      </c>
      <c r="P81">
        <v>144000</v>
      </c>
      <c r="Q81">
        <v>50.87</v>
      </c>
      <c r="R81" t="s">
        <v>29</v>
      </c>
      <c r="S81" t="s">
        <v>229</v>
      </c>
      <c r="T81">
        <f t="shared" si="6"/>
        <v>144000</v>
      </c>
      <c r="U81" t="str">
        <f t="shared" si="7"/>
        <v>24+ Months</v>
      </c>
    </row>
    <row r="82" spans="1:21" hidden="1">
      <c r="A82" t="s">
        <v>230</v>
      </c>
      <c r="B82" t="s">
        <v>115</v>
      </c>
      <c r="C82" s="2" t="s">
        <v>158</v>
      </c>
      <c r="D82" s="2" t="str">
        <f t="shared" si="4"/>
        <v>Abubakar Johnson</v>
      </c>
      <c r="E82">
        <v>32</v>
      </c>
      <c r="F82" s="3" t="str">
        <f t="shared" si="5"/>
        <v>30-39</v>
      </c>
      <c r="G82" t="s">
        <v>117</v>
      </c>
      <c r="H82" t="s">
        <v>51</v>
      </c>
      <c r="I82" t="s">
        <v>26</v>
      </c>
      <c r="J82">
        <v>5</v>
      </c>
      <c r="K82" t="s">
        <v>68</v>
      </c>
      <c r="L82">
        <v>56</v>
      </c>
      <c r="M82" t="s">
        <v>52</v>
      </c>
      <c r="N82">
        <v>9000</v>
      </c>
      <c r="O82">
        <v>13</v>
      </c>
      <c r="P82">
        <v>117000</v>
      </c>
      <c r="Q82">
        <v>164.51</v>
      </c>
      <c r="R82" t="s">
        <v>29</v>
      </c>
      <c r="S82" t="s">
        <v>229</v>
      </c>
      <c r="T82">
        <f t="shared" si="6"/>
        <v>117000</v>
      </c>
      <c r="U82" t="str">
        <f t="shared" si="7"/>
        <v>24+ Months</v>
      </c>
    </row>
    <row r="83" spans="1:21">
      <c r="A83" t="s">
        <v>231</v>
      </c>
      <c r="B83" t="s">
        <v>232</v>
      </c>
      <c r="C83" s="2" t="s">
        <v>55</v>
      </c>
      <c r="D83" s="2" t="str">
        <f t="shared" si="4"/>
        <v>Grace Walker</v>
      </c>
      <c r="E83">
        <v>25</v>
      </c>
      <c r="F83" s="3" t="str">
        <f t="shared" si="5"/>
        <v>20-29</v>
      </c>
      <c r="G83" t="s">
        <v>61</v>
      </c>
      <c r="H83" t="s">
        <v>35</v>
      </c>
      <c r="I83" t="s">
        <v>26</v>
      </c>
      <c r="J83">
        <v>1</v>
      </c>
      <c r="K83" t="s">
        <v>44</v>
      </c>
      <c r="L83">
        <v>10</v>
      </c>
      <c r="M83" t="s">
        <v>93</v>
      </c>
      <c r="N83">
        <v>350</v>
      </c>
      <c r="O83">
        <v>13</v>
      </c>
      <c r="P83">
        <v>4550</v>
      </c>
      <c r="Q83">
        <v>155.25</v>
      </c>
      <c r="R83" t="s">
        <v>46</v>
      </c>
      <c r="S83" t="s">
        <v>47</v>
      </c>
      <c r="T83">
        <f t="shared" si="6"/>
        <v>0</v>
      </c>
      <c r="U83" t="str">
        <f t="shared" si="7"/>
        <v>7-12 Months</v>
      </c>
    </row>
    <row r="84" spans="1:21">
      <c r="A84" t="s">
        <v>233</v>
      </c>
      <c r="B84" t="s">
        <v>182</v>
      </c>
      <c r="C84" s="2" t="s">
        <v>234</v>
      </c>
      <c r="D84" s="2" t="str">
        <f t="shared" si="4"/>
        <v>Alabo Thompson</v>
      </c>
      <c r="E84">
        <v>72</v>
      </c>
      <c r="F84" s="3" t="str">
        <f t="shared" si="5"/>
        <v>70-79</v>
      </c>
      <c r="G84" t="s">
        <v>206</v>
      </c>
      <c r="H84" t="s">
        <v>25</v>
      </c>
      <c r="I84" t="s">
        <v>36</v>
      </c>
      <c r="J84">
        <v>5</v>
      </c>
      <c r="K84" t="s">
        <v>68</v>
      </c>
      <c r="L84">
        <v>20</v>
      </c>
      <c r="M84" t="s">
        <v>57</v>
      </c>
      <c r="N84">
        <v>4500</v>
      </c>
      <c r="O84">
        <v>3</v>
      </c>
      <c r="P84">
        <v>13500</v>
      </c>
      <c r="Q84">
        <v>53.3</v>
      </c>
      <c r="R84" t="s">
        <v>46</v>
      </c>
      <c r="S84" t="s">
        <v>47</v>
      </c>
      <c r="T84">
        <f t="shared" si="6"/>
        <v>0</v>
      </c>
      <c r="U84" t="str">
        <f t="shared" si="7"/>
        <v>13-24 Months</v>
      </c>
    </row>
    <row r="85" spans="1:21">
      <c r="A85" t="s">
        <v>235</v>
      </c>
      <c r="B85" t="s">
        <v>192</v>
      </c>
      <c r="C85" s="2" t="s">
        <v>135</v>
      </c>
      <c r="D85" s="2" t="str">
        <f t="shared" si="4"/>
        <v>Amina Wright</v>
      </c>
      <c r="E85">
        <v>46</v>
      </c>
      <c r="F85" s="3" t="str">
        <f t="shared" si="5"/>
        <v>40-49</v>
      </c>
      <c r="G85" t="s">
        <v>179</v>
      </c>
      <c r="H85" t="s">
        <v>35</v>
      </c>
      <c r="I85" t="s">
        <v>26</v>
      </c>
      <c r="J85">
        <v>4</v>
      </c>
      <c r="K85" t="s">
        <v>155</v>
      </c>
      <c r="L85">
        <v>11</v>
      </c>
      <c r="M85" t="s">
        <v>93</v>
      </c>
      <c r="N85">
        <v>350</v>
      </c>
      <c r="O85">
        <v>10</v>
      </c>
      <c r="P85">
        <v>3500</v>
      </c>
      <c r="Q85">
        <v>57.98</v>
      </c>
      <c r="R85" t="s">
        <v>46</v>
      </c>
      <c r="S85" t="s">
        <v>47</v>
      </c>
      <c r="T85">
        <f t="shared" si="6"/>
        <v>0</v>
      </c>
      <c r="U85" t="str">
        <f t="shared" si="7"/>
        <v>7-12 Months</v>
      </c>
    </row>
    <row r="86" spans="1:21">
      <c r="A86" t="s">
        <v>236</v>
      </c>
      <c r="B86" t="s">
        <v>192</v>
      </c>
      <c r="C86" s="2" t="s">
        <v>135</v>
      </c>
      <c r="D86" s="2" t="str">
        <f t="shared" si="4"/>
        <v>Amina Wright</v>
      </c>
      <c r="E86">
        <v>46</v>
      </c>
      <c r="F86" s="3" t="str">
        <f t="shared" si="5"/>
        <v>40-49</v>
      </c>
      <c r="G86" t="s">
        <v>179</v>
      </c>
      <c r="H86" t="s">
        <v>25</v>
      </c>
      <c r="I86" t="s">
        <v>26</v>
      </c>
      <c r="J86">
        <v>4</v>
      </c>
      <c r="K86" t="s">
        <v>155</v>
      </c>
      <c r="L86">
        <v>11</v>
      </c>
      <c r="M86" t="s">
        <v>28</v>
      </c>
      <c r="N86">
        <v>35000</v>
      </c>
      <c r="O86">
        <v>8</v>
      </c>
      <c r="P86">
        <v>280000</v>
      </c>
      <c r="Q86">
        <v>14.7</v>
      </c>
      <c r="R86" t="s">
        <v>46</v>
      </c>
      <c r="S86" t="s">
        <v>47</v>
      </c>
      <c r="T86">
        <f t="shared" si="6"/>
        <v>0</v>
      </c>
      <c r="U86" t="str">
        <f t="shared" si="7"/>
        <v>7-12 Months</v>
      </c>
    </row>
    <row r="87" spans="1:21">
      <c r="A87" t="s">
        <v>237</v>
      </c>
      <c r="B87" t="s">
        <v>192</v>
      </c>
      <c r="C87" s="2" t="s">
        <v>135</v>
      </c>
      <c r="D87" s="2" t="str">
        <f t="shared" si="4"/>
        <v>Amina Wright</v>
      </c>
      <c r="E87">
        <v>46</v>
      </c>
      <c r="F87" s="3" t="str">
        <f t="shared" si="5"/>
        <v>40-49</v>
      </c>
      <c r="G87" t="s">
        <v>179</v>
      </c>
      <c r="H87" t="s">
        <v>51</v>
      </c>
      <c r="I87" t="s">
        <v>26</v>
      </c>
      <c r="J87">
        <v>4</v>
      </c>
      <c r="K87" t="s">
        <v>155</v>
      </c>
      <c r="L87">
        <v>11</v>
      </c>
      <c r="M87" t="s">
        <v>82</v>
      </c>
      <c r="N87">
        <v>30000</v>
      </c>
      <c r="O87">
        <v>19</v>
      </c>
      <c r="P87">
        <v>570000</v>
      </c>
      <c r="Q87">
        <v>157.66999999999999</v>
      </c>
      <c r="R87" t="s">
        <v>46</v>
      </c>
      <c r="S87" t="s">
        <v>47</v>
      </c>
      <c r="T87">
        <f t="shared" si="6"/>
        <v>0</v>
      </c>
      <c r="U87" t="str">
        <f t="shared" si="7"/>
        <v>7-12 Months</v>
      </c>
    </row>
    <row r="88" spans="1:21">
      <c r="A88" t="s">
        <v>238</v>
      </c>
      <c r="B88" t="s">
        <v>84</v>
      </c>
      <c r="C88" s="2" t="s">
        <v>239</v>
      </c>
      <c r="D88" s="2" t="str">
        <f t="shared" si="4"/>
        <v>Bala Christian</v>
      </c>
      <c r="E88">
        <v>70</v>
      </c>
      <c r="F88" s="3" t="str">
        <f t="shared" si="5"/>
        <v>70-79</v>
      </c>
      <c r="G88" t="s">
        <v>240</v>
      </c>
      <c r="H88" t="s">
        <v>51</v>
      </c>
      <c r="I88" t="s">
        <v>26</v>
      </c>
      <c r="J88">
        <v>3</v>
      </c>
      <c r="K88" t="s">
        <v>62</v>
      </c>
      <c r="L88">
        <v>42</v>
      </c>
      <c r="M88" t="s">
        <v>45</v>
      </c>
      <c r="N88">
        <v>20000</v>
      </c>
      <c r="O88">
        <v>20</v>
      </c>
      <c r="P88">
        <v>400000</v>
      </c>
      <c r="Q88">
        <v>158.63</v>
      </c>
      <c r="R88" t="s">
        <v>46</v>
      </c>
      <c r="S88" t="s">
        <v>47</v>
      </c>
      <c r="T88">
        <f t="shared" si="6"/>
        <v>0</v>
      </c>
      <c r="U88" t="str">
        <f t="shared" si="7"/>
        <v>24+ Months</v>
      </c>
    </row>
    <row r="89" spans="1:21">
      <c r="A89" t="s">
        <v>241</v>
      </c>
      <c r="B89" t="s">
        <v>115</v>
      </c>
      <c r="C89" s="2" t="s">
        <v>242</v>
      </c>
      <c r="D89" s="2" t="str">
        <f t="shared" si="4"/>
        <v>Abubakar Gentry</v>
      </c>
      <c r="E89">
        <v>72</v>
      </c>
      <c r="F89" s="3" t="str">
        <f t="shared" si="5"/>
        <v>70-79</v>
      </c>
      <c r="G89" t="s">
        <v>240</v>
      </c>
      <c r="H89" t="s">
        <v>35</v>
      </c>
      <c r="I89" t="s">
        <v>36</v>
      </c>
      <c r="J89">
        <v>4</v>
      </c>
      <c r="K89" t="s">
        <v>155</v>
      </c>
      <c r="L89">
        <v>45</v>
      </c>
      <c r="M89" t="s">
        <v>137</v>
      </c>
      <c r="N89">
        <v>900</v>
      </c>
      <c r="O89">
        <v>11</v>
      </c>
      <c r="P89">
        <v>9900</v>
      </c>
      <c r="Q89">
        <v>177.94</v>
      </c>
      <c r="R89" t="s">
        <v>46</v>
      </c>
      <c r="S89" t="s">
        <v>47</v>
      </c>
      <c r="T89">
        <f t="shared" si="6"/>
        <v>0</v>
      </c>
      <c r="U89" t="str">
        <f t="shared" si="7"/>
        <v>24+ Months</v>
      </c>
    </row>
    <row r="90" spans="1:21">
      <c r="A90" t="s">
        <v>243</v>
      </c>
      <c r="B90" t="s">
        <v>115</v>
      </c>
      <c r="C90" s="2" t="s">
        <v>242</v>
      </c>
      <c r="D90" s="2" t="str">
        <f t="shared" si="4"/>
        <v>Abubakar Gentry</v>
      </c>
      <c r="E90">
        <v>72</v>
      </c>
      <c r="F90" s="3" t="str">
        <f t="shared" si="5"/>
        <v>70-79</v>
      </c>
      <c r="G90" t="s">
        <v>240</v>
      </c>
      <c r="H90" t="s">
        <v>25</v>
      </c>
      <c r="I90" t="s">
        <v>36</v>
      </c>
      <c r="J90">
        <v>4</v>
      </c>
      <c r="K90" t="s">
        <v>155</v>
      </c>
      <c r="L90">
        <v>45</v>
      </c>
      <c r="M90" t="s">
        <v>63</v>
      </c>
      <c r="N90">
        <v>9000</v>
      </c>
      <c r="O90">
        <v>8</v>
      </c>
      <c r="P90">
        <v>72000</v>
      </c>
      <c r="Q90">
        <v>5.66</v>
      </c>
      <c r="R90" t="s">
        <v>46</v>
      </c>
      <c r="S90" t="s">
        <v>47</v>
      </c>
      <c r="T90">
        <f t="shared" si="6"/>
        <v>0</v>
      </c>
      <c r="U90" t="str">
        <f t="shared" si="7"/>
        <v>24+ Months</v>
      </c>
    </row>
    <row r="91" spans="1:21">
      <c r="A91" t="s">
        <v>244</v>
      </c>
      <c r="B91" t="s">
        <v>115</v>
      </c>
      <c r="C91" s="2" t="s">
        <v>242</v>
      </c>
      <c r="D91" s="2" t="str">
        <f t="shared" si="4"/>
        <v>Abubakar Gentry</v>
      </c>
      <c r="E91">
        <v>72</v>
      </c>
      <c r="F91" s="3" t="str">
        <f t="shared" si="5"/>
        <v>70-79</v>
      </c>
      <c r="G91" t="s">
        <v>240</v>
      </c>
      <c r="H91" t="s">
        <v>51</v>
      </c>
      <c r="I91" t="s">
        <v>36</v>
      </c>
      <c r="J91">
        <v>4</v>
      </c>
      <c r="K91" t="s">
        <v>155</v>
      </c>
      <c r="L91">
        <v>45</v>
      </c>
      <c r="M91" t="s">
        <v>78</v>
      </c>
      <c r="N91">
        <v>24000</v>
      </c>
      <c r="O91">
        <v>1</v>
      </c>
      <c r="P91">
        <v>24000</v>
      </c>
      <c r="Q91">
        <v>117.63</v>
      </c>
      <c r="R91" t="s">
        <v>46</v>
      </c>
      <c r="S91" t="s">
        <v>47</v>
      </c>
      <c r="T91">
        <f t="shared" si="6"/>
        <v>0</v>
      </c>
      <c r="U91" t="str">
        <f t="shared" si="7"/>
        <v>24+ Months</v>
      </c>
    </row>
    <row r="92" spans="1:21" hidden="1">
      <c r="A92" t="s">
        <v>245</v>
      </c>
      <c r="B92" t="s">
        <v>32</v>
      </c>
      <c r="C92" s="2" t="s">
        <v>246</v>
      </c>
      <c r="D92" s="2" t="str">
        <f t="shared" si="4"/>
        <v>Zainab Taylor</v>
      </c>
      <c r="E92">
        <v>21</v>
      </c>
      <c r="F92" s="3" t="str">
        <f t="shared" si="5"/>
        <v>20-29</v>
      </c>
      <c r="G92" t="s">
        <v>179</v>
      </c>
      <c r="H92" t="s">
        <v>35</v>
      </c>
      <c r="I92" t="s">
        <v>36</v>
      </c>
      <c r="J92">
        <v>3</v>
      </c>
      <c r="K92" t="s">
        <v>62</v>
      </c>
      <c r="L92">
        <v>34</v>
      </c>
      <c r="M92" t="s">
        <v>37</v>
      </c>
      <c r="N92">
        <v>5500</v>
      </c>
      <c r="O92">
        <v>11</v>
      </c>
      <c r="P92">
        <v>60500</v>
      </c>
      <c r="Q92">
        <v>69.92</v>
      </c>
      <c r="R92" t="s">
        <v>29</v>
      </c>
      <c r="S92" t="s">
        <v>30</v>
      </c>
      <c r="T92">
        <f t="shared" si="6"/>
        <v>60500</v>
      </c>
      <c r="U92" t="str">
        <f t="shared" si="7"/>
        <v>24+ Months</v>
      </c>
    </row>
    <row r="93" spans="1:21" hidden="1">
      <c r="A93" t="s">
        <v>247</v>
      </c>
      <c r="B93" t="s">
        <v>32</v>
      </c>
      <c r="C93" s="2" t="s">
        <v>246</v>
      </c>
      <c r="D93" s="2" t="str">
        <f t="shared" si="4"/>
        <v>Zainab Taylor</v>
      </c>
      <c r="E93">
        <v>21</v>
      </c>
      <c r="F93" s="3" t="str">
        <f t="shared" si="5"/>
        <v>20-29</v>
      </c>
      <c r="G93" t="s">
        <v>179</v>
      </c>
      <c r="H93" t="s">
        <v>51</v>
      </c>
      <c r="I93" t="s">
        <v>36</v>
      </c>
      <c r="J93">
        <v>3</v>
      </c>
      <c r="K93" t="s">
        <v>62</v>
      </c>
      <c r="L93">
        <v>34</v>
      </c>
      <c r="M93" t="s">
        <v>82</v>
      </c>
      <c r="N93">
        <v>30000</v>
      </c>
      <c r="O93">
        <v>6</v>
      </c>
      <c r="P93">
        <v>180000</v>
      </c>
      <c r="Q93">
        <v>134.19</v>
      </c>
      <c r="R93" t="s">
        <v>29</v>
      </c>
      <c r="S93" t="s">
        <v>30</v>
      </c>
      <c r="T93">
        <f t="shared" si="6"/>
        <v>180000</v>
      </c>
      <c r="U93" t="str">
        <f t="shared" si="7"/>
        <v>24+ Months</v>
      </c>
    </row>
    <row r="94" spans="1:21" hidden="1">
      <c r="A94" t="s">
        <v>248</v>
      </c>
      <c r="B94" t="s">
        <v>249</v>
      </c>
      <c r="C94" s="2" t="s">
        <v>250</v>
      </c>
      <c r="D94" s="2" t="str">
        <f t="shared" si="4"/>
        <v>Tega Stevens</v>
      </c>
      <c r="E94">
        <v>68</v>
      </c>
      <c r="F94" s="3" t="str">
        <f t="shared" si="5"/>
        <v>60-69</v>
      </c>
      <c r="G94" t="s">
        <v>117</v>
      </c>
      <c r="H94" t="s">
        <v>43</v>
      </c>
      <c r="I94" t="s">
        <v>36</v>
      </c>
      <c r="J94">
        <v>5</v>
      </c>
      <c r="K94" t="s">
        <v>68</v>
      </c>
      <c r="L94">
        <v>43</v>
      </c>
      <c r="M94" t="s">
        <v>45</v>
      </c>
      <c r="N94">
        <v>20000</v>
      </c>
      <c r="O94">
        <v>13</v>
      </c>
      <c r="P94">
        <v>260000</v>
      </c>
      <c r="Q94">
        <v>194.05</v>
      </c>
      <c r="R94" t="s">
        <v>29</v>
      </c>
      <c r="S94" t="s">
        <v>97</v>
      </c>
      <c r="T94">
        <f t="shared" si="6"/>
        <v>260000</v>
      </c>
      <c r="U94" t="str">
        <f t="shared" si="7"/>
        <v>24+ Months</v>
      </c>
    </row>
    <row r="95" spans="1:21" hidden="1">
      <c r="A95" t="s">
        <v>251</v>
      </c>
      <c r="B95" t="s">
        <v>249</v>
      </c>
      <c r="C95" s="2" t="s">
        <v>250</v>
      </c>
      <c r="D95" s="2" t="str">
        <f t="shared" si="4"/>
        <v>Tega Stevens</v>
      </c>
      <c r="E95">
        <v>68</v>
      </c>
      <c r="F95" s="3" t="str">
        <f t="shared" si="5"/>
        <v>60-69</v>
      </c>
      <c r="G95" t="s">
        <v>117</v>
      </c>
      <c r="H95" t="s">
        <v>25</v>
      </c>
      <c r="I95" t="s">
        <v>36</v>
      </c>
      <c r="J95">
        <v>5</v>
      </c>
      <c r="K95" t="s">
        <v>68</v>
      </c>
      <c r="L95">
        <v>43</v>
      </c>
      <c r="M95" t="s">
        <v>73</v>
      </c>
      <c r="N95">
        <v>16000</v>
      </c>
      <c r="O95">
        <v>18</v>
      </c>
      <c r="P95">
        <v>288000</v>
      </c>
      <c r="Q95">
        <v>131.69999999999999</v>
      </c>
      <c r="R95" t="s">
        <v>29</v>
      </c>
      <c r="S95" t="s">
        <v>97</v>
      </c>
      <c r="T95">
        <f t="shared" si="6"/>
        <v>288000</v>
      </c>
      <c r="U95" t="str">
        <f t="shared" si="7"/>
        <v>24+ Months</v>
      </c>
    </row>
    <row r="96" spans="1:21">
      <c r="A96" t="s">
        <v>252</v>
      </c>
      <c r="B96" t="s">
        <v>214</v>
      </c>
      <c r="C96" s="2" t="s">
        <v>253</v>
      </c>
      <c r="D96" s="2" t="str">
        <f t="shared" si="4"/>
        <v>Zina Carter</v>
      </c>
      <c r="E96">
        <v>68</v>
      </c>
      <c r="F96" s="3" t="str">
        <f t="shared" si="5"/>
        <v>60-69</v>
      </c>
      <c r="G96" t="s">
        <v>61</v>
      </c>
      <c r="H96" t="s">
        <v>35</v>
      </c>
      <c r="I96" t="s">
        <v>26</v>
      </c>
      <c r="J96">
        <v>5</v>
      </c>
      <c r="K96" t="s">
        <v>68</v>
      </c>
      <c r="L96">
        <v>34</v>
      </c>
      <c r="M96" t="s">
        <v>49</v>
      </c>
      <c r="N96">
        <v>500</v>
      </c>
      <c r="O96">
        <v>10</v>
      </c>
      <c r="P96">
        <v>5000</v>
      </c>
      <c r="Q96">
        <v>110.07</v>
      </c>
      <c r="R96" t="s">
        <v>46</v>
      </c>
      <c r="S96" t="s">
        <v>47</v>
      </c>
      <c r="T96">
        <f t="shared" si="6"/>
        <v>0</v>
      </c>
      <c r="U96" t="str">
        <f t="shared" si="7"/>
        <v>24+ Months</v>
      </c>
    </row>
    <row r="97" spans="1:21">
      <c r="A97" t="s">
        <v>254</v>
      </c>
      <c r="B97" t="s">
        <v>214</v>
      </c>
      <c r="C97" s="2" t="s">
        <v>253</v>
      </c>
      <c r="D97" s="2" t="str">
        <f t="shared" si="4"/>
        <v>Zina Carter</v>
      </c>
      <c r="E97">
        <v>68</v>
      </c>
      <c r="F97" s="3" t="str">
        <f t="shared" si="5"/>
        <v>60-69</v>
      </c>
      <c r="G97" t="s">
        <v>61</v>
      </c>
      <c r="H97" t="s">
        <v>51</v>
      </c>
      <c r="I97" t="s">
        <v>26</v>
      </c>
      <c r="J97">
        <v>5</v>
      </c>
      <c r="K97" t="s">
        <v>68</v>
      </c>
      <c r="L97">
        <v>34</v>
      </c>
      <c r="M97" t="s">
        <v>91</v>
      </c>
      <c r="N97">
        <v>14500</v>
      </c>
      <c r="O97">
        <v>16</v>
      </c>
      <c r="P97">
        <v>232000</v>
      </c>
      <c r="Q97">
        <v>176.23</v>
      </c>
      <c r="R97" t="s">
        <v>46</v>
      </c>
      <c r="S97" t="s">
        <v>47</v>
      </c>
      <c r="T97">
        <f t="shared" si="6"/>
        <v>0</v>
      </c>
      <c r="U97" t="str">
        <f t="shared" si="7"/>
        <v>24+ Months</v>
      </c>
    </row>
    <row r="98" spans="1:21">
      <c r="A98" t="s">
        <v>255</v>
      </c>
      <c r="B98" t="s">
        <v>214</v>
      </c>
      <c r="C98" s="2" t="s">
        <v>253</v>
      </c>
      <c r="D98" s="2" t="str">
        <f t="shared" si="4"/>
        <v>Zina Carter</v>
      </c>
      <c r="E98">
        <v>68</v>
      </c>
      <c r="F98" s="3" t="str">
        <f t="shared" si="5"/>
        <v>60-69</v>
      </c>
      <c r="G98" t="s">
        <v>61</v>
      </c>
      <c r="H98" t="s">
        <v>43</v>
      </c>
      <c r="I98" t="s">
        <v>26</v>
      </c>
      <c r="J98">
        <v>5</v>
      </c>
      <c r="K98" t="s">
        <v>68</v>
      </c>
      <c r="L98">
        <v>34</v>
      </c>
      <c r="M98" t="s">
        <v>45</v>
      </c>
      <c r="N98">
        <v>20000</v>
      </c>
      <c r="O98">
        <v>20</v>
      </c>
      <c r="P98">
        <v>400000</v>
      </c>
      <c r="Q98">
        <v>6.26</v>
      </c>
      <c r="R98" t="s">
        <v>46</v>
      </c>
      <c r="S98" t="s">
        <v>47</v>
      </c>
      <c r="T98">
        <f t="shared" si="6"/>
        <v>0</v>
      </c>
      <c r="U98" t="str">
        <f t="shared" si="7"/>
        <v>24+ Months</v>
      </c>
    </row>
    <row r="99" spans="1:21" hidden="1">
      <c r="A99" t="s">
        <v>256</v>
      </c>
      <c r="B99" t="s">
        <v>87</v>
      </c>
      <c r="C99" s="2" t="s">
        <v>257</v>
      </c>
      <c r="D99" s="2" t="str">
        <f t="shared" si="4"/>
        <v>Halima Johnston</v>
      </c>
      <c r="E99">
        <v>36</v>
      </c>
      <c r="F99" s="3" t="str">
        <f t="shared" si="5"/>
        <v>30-39</v>
      </c>
      <c r="G99" t="s">
        <v>206</v>
      </c>
      <c r="H99" t="s">
        <v>35</v>
      </c>
      <c r="I99" t="s">
        <v>26</v>
      </c>
      <c r="J99">
        <v>1</v>
      </c>
      <c r="K99" t="s">
        <v>44</v>
      </c>
      <c r="L99">
        <v>36</v>
      </c>
      <c r="M99" t="s">
        <v>108</v>
      </c>
      <c r="N99">
        <v>1000</v>
      </c>
      <c r="O99">
        <v>5</v>
      </c>
      <c r="P99">
        <v>5000</v>
      </c>
      <c r="Q99">
        <v>129.72</v>
      </c>
      <c r="R99" t="s">
        <v>29</v>
      </c>
      <c r="S99" t="s">
        <v>38</v>
      </c>
      <c r="T99">
        <f t="shared" si="6"/>
        <v>5000</v>
      </c>
      <c r="U99" t="str">
        <f t="shared" si="7"/>
        <v>24+ Months</v>
      </c>
    </row>
    <row r="100" spans="1:21" hidden="1">
      <c r="A100" t="s">
        <v>258</v>
      </c>
      <c r="B100" t="s">
        <v>232</v>
      </c>
      <c r="C100" s="2" t="s">
        <v>259</v>
      </c>
      <c r="D100" s="2" t="str">
        <f t="shared" si="4"/>
        <v>Grace Christensen</v>
      </c>
      <c r="E100">
        <v>53</v>
      </c>
      <c r="F100" s="3" t="str">
        <f t="shared" si="5"/>
        <v>50-59</v>
      </c>
      <c r="G100" t="s">
        <v>260</v>
      </c>
      <c r="H100" t="s">
        <v>35</v>
      </c>
      <c r="I100" t="s">
        <v>36</v>
      </c>
      <c r="J100">
        <v>4</v>
      </c>
      <c r="K100" t="s">
        <v>155</v>
      </c>
      <c r="L100">
        <v>27</v>
      </c>
      <c r="M100" t="s">
        <v>93</v>
      </c>
      <c r="N100">
        <v>350</v>
      </c>
      <c r="O100">
        <v>17</v>
      </c>
      <c r="P100">
        <v>5950</v>
      </c>
      <c r="Q100">
        <v>184.41</v>
      </c>
      <c r="R100" t="s">
        <v>29</v>
      </c>
      <c r="S100" t="s">
        <v>30</v>
      </c>
      <c r="T100">
        <f t="shared" si="6"/>
        <v>5950</v>
      </c>
      <c r="U100" t="str">
        <f t="shared" si="7"/>
        <v>24+ Months</v>
      </c>
    </row>
    <row r="101" spans="1:21" hidden="1">
      <c r="A101" t="s">
        <v>261</v>
      </c>
      <c r="B101" t="s">
        <v>140</v>
      </c>
      <c r="C101" s="2" t="s">
        <v>262</v>
      </c>
      <c r="D101" s="2" t="str">
        <f t="shared" si="4"/>
        <v>Amaka Potter</v>
      </c>
      <c r="E101">
        <v>24</v>
      </c>
      <c r="F101" s="3" t="str">
        <f t="shared" si="5"/>
        <v>20-29</v>
      </c>
      <c r="G101" t="s">
        <v>263</v>
      </c>
      <c r="H101" t="s">
        <v>35</v>
      </c>
      <c r="I101" t="s">
        <v>36</v>
      </c>
      <c r="J101">
        <v>1</v>
      </c>
      <c r="K101" t="s">
        <v>44</v>
      </c>
      <c r="L101">
        <v>22</v>
      </c>
      <c r="M101" t="s">
        <v>264</v>
      </c>
      <c r="N101">
        <v>6500</v>
      </c>
      <c r="O101">
        <v>11</v>
      </c>
      <c r="P101">
        <v>71500</v>
      </c>
      <c r="Q101">
        <v>97.13</v>
      </c>
      <c r="R101" t="s">
        <v>29</v>
      </c>
      <c r="S101" t="s">
        <v>129</v>
      </c>
      <c r="T101">
        <f t="shared" si="6"/>
        <v>71500</v>
      </c>
      <c r="U101" t="str">
        <f t="shared" si="7"/>
        <v>13-24 Months</v>
      </c>
    </row>
    <row r="102" spans="1:21" hidden="1">
      <c r="A102" t="s">
        <v>265</v>
      </c>
      <c r="B102" t="s">
        <v>140</v>
      </c>
      <c r="C102" s="2" t="s">
        <v>262</v>
      </c>
      <c r="D102" s="2" t="str">
        <f t="shared" si="4"/>
        <v>Amaka Potter</v>
      </c>
      <c r="E102">
        <v>24</v>
      </c>
      <c r="F102" s="3" t="str">
        <f t="shared" si="5"/>
        <v>20-29</v>
      </c>
      <c r="G102" t="s">
        <v>263</v>
      </c>
      <c r="H102" t="s">
        <v>51</v>
      </c>
      <c r="I102" t="s">
        <v>36</v>
      </c>
      <c r="J102">
        <v>1</v>
      </c>
      <c r="K102" t="s">
        <v>44</v>
      </c>
      <c r="L102">
        <v>22</v>
      </c>
      <c r="M102" t="s">
        <v>78</v>
      </c>
      <c r="N102">
        <v>24000</v>
      </c>
      <c r="O102">
        <v>13</v>
      </c>
      <c r="P102">
        <v>312000</v>
      </c>
      <c r="Q102">
        <v>152.69</v>
      </c>
      <c r="R102" t="s">
        <v>29</v>
      </c>
      <c r="S102" t="s">
        <v>129</v>
      </c>
      <c r="T102">
        <f t="shared" si="6"/>
        <v>312000</v>
      </c>
      <c r="U102" t="str">
        <f t="shared" si="7"/>
        <v>13-24 Months</v>
      </c>
    </row>
    <row r="103" spans="1:21" hidden="1">
      <c r="A103" t="s">
        <v>266</v>
      </c>
      <c r="B103" t="s">
        <v>140</v>
      </c>
      <c r="C103" s="2" t="s">
        <v>262</v>
      </c>
      <c r="D103" s="2" t="str">
        <f t="shared" si="4"/>
        <v>Amaka Potter</v>
      </c>
      <c r="E103">
        <v>24</v>
      </c>
      <c r="F103" s="3" t="str">
        <f t="shared" si="5"/>
        <v>20-29</v>
      </c>
      <c r="G103" t="s">
        <v>263</v>
      </c>
      <c r="H103" t="s">
        <v>35</v>
      </c>
      <c r="I103" t="s">
        <v>36</v>
      </c>
      <c r="J103">
        <v>1</v>
      </c>
      <c r="K103" t="s">
        <v>44</v>
      </c>
      <c r="L103">
        <v>22</v>
      </c>
      <c r="M103" t="s">
        <v>28</v>
      </c>
      <c r="N103">
        <v>35000</v>
      </c>
      <c r="O103">
        <v>7</v>
      </c>
      <c r="P103">
        <v>245000</v>
      </c>
      <c r="Q103">
        <v>186.6</v>
      </c>
      <c r="R103" t="s">
        <v>29</v>
      </c>
      <c r="S103" t="s">
        <v>129</v>
      </c>
      <c r="T103">
        <f t="shared" si="6"/>
        <v>245000</v>
      </c>
      <c r="U103" t="str">
        <f t="shared" si="7"/>
        <v>13-24 Months</v>
      </c>
    </row>
    <row r="104" spans="1:21">
      <c r="A104" t="s">
        <v>267</v>
      </c>
      <c r="B104" t="s">
        <v>87</v>
      </c>
      <c r="C104" s="2" t="s">
        <v>268</v>
      </c>
      <c r="D104" s="2" t="str">
        <f t="shared" si="4"/>
        <v>Halima Smith</v>
      </c>
      <c r="E104">
        <v>65</v>
      </c>
      <c r="F104" s="3" t="str">
        <f t="shared" si="5"/>
        <v>60-69</v>
      </c>
      <c r="G104" t="s">
        <v>154</v>
      </c>
      <c r="H104" t="s">
        <v>35</v>
      </c>
      <c r="I104" t="s">
        <v>36</v>
      </c>
      <c r="J104">
        <v>4</v>
      </c>
      <c r="K104" t="s">
        <v>155</v>
      </c>
      <c r="L104">
        <v>3</v>
      </c>
      <c r="M104" t="s">
        <v>227</v>
      </c>
      <c r="N104">
        <v>600</v>
      </c>
      <c r="O104">
        <v>2</v>
      </c>
      <c r="P104">
        <v>1200</v>
      </c>
      <c r="Q104">
        <v>99.32</v>
      </c>
      <c r="R104" t="s">
        <v>46</v>
      </c>
      <c r="S104" t="s">
        <v>47</v>
      </c>
      <c r="T104">
        <f t="shared" si="6"/>
        <v>0</v>
      </c>
      <c r="U104" t="str">
        <f t="shared" si="7"/>
        <v>0-6 Months</v>
      </c>
    </row>
    <row r="105" spans="1:21">
      <c r="A105" t="s">
        <v>269</v>
      </c>
      <c r="B105" t="s">
        <v>87</v>
      </c>
      <c r="C105" s="2" t="s">
        <v>268</v>
      </c>
      <c r="D105" s="2" t="str">
        <f t="shared" si="4"/>
        <v>Halima Smith</v>
      </c>
      <c r="E105">
        <v>65</v>
      </c>
      <c r="F105" s="3" t="str">
        <f t="shared" si="5"/>
        <v>60-69</v>
      </c>
      <c r="G105" t="s">
        <v>154</v>
      </c>
      <c r="H105" t="s">
        <v>43</v>
      </c>
      <c r="I105" t="s">
        <v>36</v>
      </c>
      <c r="J105">
        <v>4</v>
      </c>
      <c r="K105" t="s">
        <v>155</v>
      </c>
      <c r="L105">
        <v>3</v>
      </c>
      <c r="M105" t="s">
        <v>82</v>
      </c>
      <c r="N105">
        <v>30000</v>
      </c>
      <c r="O105">
        <v>19</v>
      </c>
      <c r="P105">
        <v>570000</v>
      </c>
      <c r="Q105">
        <v>100.71</v>
      </c>
      <c r="R105" t="s">
        <v>46</v>
      </c>
      <c r="S105" t="s">
        <v>47</v>
      </c>
      <c r="T105">
        <f t="shared" si="6"/>
        <v>0</v>
      </c>
      <c r="U105" t="str">
        <f t="shared" si="7"/>
        <v>0-6 Months</v>
      </c>
    </row>
    <row r="106" spans="1:21">
      <c r="A106" t="s">
        <v>270</v>
      </c>
      <c r="B106" t="s">
        <v>249</v>
      </c>
      <c r="C106" s="2" t="s">
        <v>271</v>
      </c>
      <c r="D106" s="2" t="str">
        <f t="shared" si="4"/>
        <v>Tega Daniels</v>
      </c>
      <c r="E106">
        <v>28</v>
      </c>
      <c r="F106" s="3" t="str">
        <f t="shared" si="5"/>
        <v>20-29</v>
      </c>
      <c r="G106" t="s">
        <v>272</v>
      </c>
      <c r="H106" t="s">
        <v>35</v>
      </c>
      <c r="I106" t="s">
        <v>26</v>
      </c>
      <c r="J106">
        <v>1</v>
      </c>
      <c r="K106" t="s">
        <v>44</v>
      </c>
      <c r="L106">
        <v>34</v>
      </c>
      <c r="M106" t="s">
        <v>28</v>
      </c>
      <c r="N106">
        <v>35000</v>
      </c>
      <c r="O106">
        <v>9</v>
      </c>
      <c r="P106">
        <v>315000</v>
      </c>
      <c r="Q106">
        <v>156.41</v>
      </c>
      <c r="R106" t="s">
        <v>46</v>
      </c>
      <c r="S106" t="s">
        <v>47</v>
      </c>
      <c r="T106">
        <f t="shared" si="6"/>
        <v>0</v>
      </c>
      <c r="U106" t="str">
        <f t="shared" si="7"/>
        <v>24+ Months</v>
      </c>
    </row>
    <row r="107" spans="1:21">
      <c r="A107" t="s">
        <v>273</v>
      </c>
      <c r="B107" t="s">
        <v>249</v>
      </c>
      <c r="C107" s="2" t="s">
        <v>271</v>
      </c>
      <c r="D107" s="2" t="str">
        <f t="shared" si="4"/>
        <v>Tega Daniels</v>
      </c>
      <c r="E107">
        <v>28</v>
      </c>
      <c r="F107" s="3" t="str">
        <f t="shared" si="5"/>
        <v>20-29</v>
      </c>
      <c r="G107" t="s">
        <v>272</v>
      </c>
      <c r="H107" t="s">
        <v>51</v>
      </c>
      <c r="I107" t="s">
        <v>26</v>
      </c>
      <c r="J107">
        <v>1</v>
      </c>
      <c r="K107" t="s">
        <v>44</v>
      </c>
      <c r="L107">
        <v>34</v>
      </c>
      <c r="M107" t="s">
        <v>82</v>
      </c>
      <c r="N107">
        <v>30000</v>
      </c>
      <c r="O107">
        <v>13</v>
      </c>
      <c r="P107">
        <v>390000</v>
      </c>
      <c r="Q107">
        <v>124.84</v>
      </c>
      <c r="R107" t="s">
        <v>46</v>
      </c>
      <c r="S107" t="s">
        <v>47</v>
      </c>
      <c r="T107">
        <f t="shared" si="6"/>
        <v>0</v>
      </c>
      <c r="U107" t="str">
        <f t="shared" si="7"/>
        <v>24+ Months</v>
      </c>
    </row>
    <row r="108" spans="1:21" hidden="1">
      <c r="A108" t="s">
        <v>274</v>
      </c>
      <c r="B108" t="s">
        <v>219</v>
      </c>
      <c r="C108" s="2" t="s">
        <v>183</v>
      </c>
      <c r="D108" s="2" t="str">
        <f t="shared" si="4"/>
        <v>Chinedu Davis</v>
      </c>
      <c r="E108">
        <v>58</v>
      </c>
      <c r="F108" s="3" t="str">
        <f t="shared" si="5"/>
        <v>50-59</v>
      </c>
      <c r="G108" t="s">
        <v>111</v>
      </c>
      <c r="H108" t="s">
        <v>43</v>
      </c>
      <c r="I108" t="s">
        <v>36</v>
      </c>
      <c r="J108">
        <v>5</v>
      </c>
      <c r="K108" t="s">
        <v>68</v>
      </c>
      <c r="L108">
        <v>21</v>
      </c>
      <c r="M108" t="s">
        <v>91</v>
      </c>
      <c r="N108">
        <v>14500</v>
      </c>
      <c r="O108">
        <v>14</v>
      </c>
      <c r="P108">
        <v>203000</v>
      </c>
      <c r="Q108">
        <v>149.47999999999999</v>
      </c>
      <c r="R108" t="s">
        <v>29</v>
      </c>
      <c r="S108" t="s">
        <v>97</v>
      </c>
      <c r="T108">
        <f t="shared" si="6"/>
        <v>203000</v>
      </c>
      <c r="U108" t="str">
        <f t="shared" si="7"/>
        <v>13-24 Months</v>
      </c>
    </row>
    <row r="109" spans="1:21" hidden="1">
      <c r="A109" t="s">
        <v>275</v>
      </c>
      <c r="B109" t="s">
        <v>22</v>
      </c>
      <c r="C109" s="2" t="s">
        <v>147</v>
      </c>
      <c r="D109" s="2" t="str">
        <f t="shared" si="4"/>
        <v>Ngozi Brown</v>
      </c>
      <c r="E109">
        <v>28</v>
      </c>
      <c r="F109" s="3" t="str">
        <f t="shared" si="5"/>
        <v>20-29</v>
      </c>
      <c r="G109" t="s">
        <v>272</v>
      </c>
      <c r="H109" t="s">
        <v>43</v>
      </c>
      <c r="I109" t="s">
        <v>26</v>
      </c>
      <c r="J109">
        <v>1</v>
      </c>
      <c r="K109" t="s">
        <v>44</v>
      </c>
      <c r="L109">
        <v>45</v>
      </c>
      <c r="M109" t="s">
        <v>156</v>
      </c>
      <c r="N109">
        <v>25000</v>
      </c>
      <c r="O109">
        <v>5</v>
      </c>
      <c r="P109">
        <v>125000</v>
      </c>
      <c r="Q109">
        <v>75.28</v>
      </c>
      <c r="R109" t="s">
        <v>29</v>
      </c>
      <c r="S109" t="s">
        <v>38</v>
      </c>
      <c r="T109">
        <f t="shared" si="6"/>
        <v>125000</v>
      </c>
      <c r="U109" t="str">
        <f t="shared" si="7"/>
        <v>24+ Months</v>
      </c>
    </row>
    <row r="110" spans="1:21">
      <c r="A110" t="s">
        <v>276</v>
      </c>
      <c r="B110" t="s">
        <v>87</v>
      </c>
      <c r="C110" s="2" t="s">
        <v>277</v>
      </c>
      <c r="D110" s="2" t="str">
        <f t="shared" si="4"/>
        <v>Halima Williams</v>
      </c>
      <c r="E110">
        <v>68</v>
      </c>
      <c r="F110" s="3" t="str">
        <f t="shared" si="5"/>
        <v>60-69</v>
      </c>
      <c r="G110" t="s">
        <v>179</v>
      </c>
      <c r="H110" t="s">
        <v>25</v>
      </c>
      <c r="I110" t="s">
        <v>26</v>
      </c>
      <c r="J110">
        <v>5</v>
      </c>
      <c r="K110" t="s">
        <v>68</v>
      </c>
      <c r="L110">
        <v>12</v>
      </c>
      <c r="M110" t="s">
        <v>57</v>
      </c>
      <c r="N110">
        <v>4500</v>
      </c>
      <c r="O110">
        <v>9</v>
      </c>
      <c r="P110">
        <v>40500</v>
      </c>
      <c r="Q110">
        <v>92.5</v>
      </c>
      <c r="R110" t="s">
        <v>46</v>
      </c>
      <c r="S110" t="s">
        <v>47</v>
      </c>
      <c r="T110">
        <f t="shared" si="6"/>
        <v>0</v>
      </c>
      <c r="U110" t="str">
        <f t="shared" si="7"/>
        <v>7-12 Months</v>
      </c>
    </row>
    <row r="111" spans="1:21">
      <c r="A111" t="s">
        <v>278</v>
      </c>
      <c r="B111" t="s">
        <v>87</v>
      </c>
      <c r="C111" s="2" t="s">
        <v>277</v>
      </c>
      <c r="D111" s="2" t="str">
        <f t="shared" si="4"/>
        <v>Halima Williams</v>
      </c>
      <c r="E111">
        <v>68</v>
      </c>
      <c r="F111" s="3" t="str">
        <f t="shared" si="5"/>
        <v>60-69</v>
      </c>
      <c r="G111" t="s">
        <v>179</v>
      </c>
      <c r="H111" t="s">
        <v>35</v>
      </c>
      <c r="I111" t="s">
        <v>26</v>
      </c>
      <c r="J111">
        <v>5</v>
      </c>
      <c r="K111" t="s">
        <v>68</v>
      </c>
      <c r="L111">
        <v>12</v>
      </c>
      <c r="M111" t="s">
        <v>37</v>
      </c>
      <c r="N111">
        <v>5500</v>
      </c>
      <c r="O111">
        <v>1</v>
      </c>
      <c r="P111">
        <v>5500</v>
      </c>
      <c r="Q111">
        <v>51.44</v>
      </c>
      <c r="R111" t="s">
        <v>46</v>
      </c>
      <c r="S111" t="s">
        <v>47</v>
      </c>
      <c r="T111">
        <f t="shared" si="6"/>
        <v>0</v>
      </c>
      <c r="U111" t="str">
        <f t="shared" si="7"/>
        <v>7-12 Months</v>
      </c>
    </row>
    <row r="112" spans="1:21">
      <c r="A112" t="s">
        <v>279</v>
      </c>
      <c r="B112" t="s">
        <v>87</v>
      </c>
      <c r="C112" s="2" t="s">
        <v>277</v>
      </c>
      <c r="D112" s="2" t="str">
        <f t="shared" si="4"/>
        <v>Halima Williams</v>
      </c>
      <c r="E112">
        <v>68</v>
      </c>
      <c r="F112" s="3" t="str">
        <f t="shared" si="5"/>
        <v>60-69</v>
      </c>
      <c r="G112" t="s">
        <v>179</v>
      </c>
      <c r="H112" t="s">
        <v>51</v>
      </c>
      <c r="I112" t="s">
        <v>26</v>
      </c>
      <c r="J112">
        <v>5</v>
      </c>
      <c r="K112" t="s">
        <v>68</v>
      </c>
      <c r="L112">
        <v>12</v>
      </c>
      <c r="M112" t="s">
        <v>91</v>
      </c>
      <c r="N112">
        <v>14500</v>
      </c>
      <c r="O112">
        <v>18</v>
      </c>
      <c r="P112">
        <v>261000</v>
      </c>
      <c r="Q112">
        <v>180.29</v>
      </c>
      <c r="R112" t="s">
        <v>46</v>
      </c>
      <c r="S112" t="s">
        <v>47</v>
      </c>
      <c r="T112">
        <f t="shared" si="6"/>
        <v>0</v>
      </c>
      <c r="U112" t="str">
        <f t="shared" si="7"/>
        <v>7-12 Months</v>
      </c>
    </row>
    <row r="113" spans="1:21">
      <c r="A113" t="s">
        <v>280</v>
      </c>
      <c r="B113" t="s">
        <v>192</v>
      </c>
      <c r="C113" s="2" t="s">
        <v>281</v>
      </c>
      <c r="D113" s="2" t="str">
        <f t="shared" si="4"/>
        <v>Amina Payne</v>
      </c>
      <c r="E113">
        <v>25</v>
      </c>
      <c r="F113" s="3" t="str">
        <f t="shared" si="5"/>
        <v>20-29</v>
      </c>
      <c r="G113" t="s">
        <v>272</v>
      </c>
      <c r="H113" t="s">
        <v>43</v>
      </c>
      <c r="I113" t="s">
        <v>36</v>
      </c>
      <c r="J113">
        <v>4</v>
      </c>
      <c r="K113" t="s">
        <v>155</v>
      </c>
      <c r="L113">
        <v>38</v>
      </c>
      <c r="M113" t="s">
        <v>143</v>
      </c>
      <c r="N113">
        <v>75000</v>
      </c>
      <c r="O113">
        <v>4</v>
      </c>
      <c r="P113">
        <v>300000</v>
      </c>
      <c r="Q113">
        <v>170.74</v>
      </c>
      <c r="R113" t="s">
        <v>46</v>
      </c>
      <c r="S113" t="s">
        <v>47</v>
      </c>
      <c r="T113">
        <f t="shared" si="6"/>
        <v>0</v>
      </c>
      <c r="U113" t="str">
        <f t="shared" si="7"/>
        <v>24+ Months</v>
      </c>
    </row>
    <row r="114" spans="1:21">
      <c r="A114" t="s">
        <v>282</v>
      </c>
      <c r="B114" t="s">
        <v>192</v>
      </c>
      <c r="C114" s="2" t="s">
        <v>281</v>
      </c>
      <c r="D114" s="2" t="str">
        <f t="shared" si="4"/>
        <v>Amina Payne</v>
      </c>
      <c r="E114">
        <v>25</v>
      </c>
      <c r="F114" s="3" t="str">
        <f t="shared" si="5"/>
        <v>20-29</v>
      </c>
      <c r="G114" t="s">
        <v>272</v>
      </c>
      <c r="H114" t="s">
        <v>51</v>
      </c>
      <c r="I114" t="s">
        <v>36</v>
      </c>
      <c r="J114">
        <v>4</v>
      </c>
      <c r="K114" t="s">
        <v>155</v>
      </c>
      <c r="L114">
        <v>38</v>
      </c>
      <c r="M114" t="s">
        <v>45</v>
      </c>
      <c r="N114">
        <v>20000</v>
      </c>
      <c r="O114">
        <v>12</v>
      </c>
      <c r="P114">
        <v>240000</v>
      </c>
      <c r="Q114">
        <v>76.58</v>
      </c>
      <c r="R114" t="s">
        <v>46</v>
      </c>
      <c r="S114" t="s">
        <v>47</v>
      </c>
      <c r="T114">
        <f t="shared" si="6"/>
        <v>0</v>
      </c>
      <c r="U114" t="str">
        <f t="shared" si="7"/>
        <v>24+ Months</v>
      </c>
    </row>
    <row r="115" spans="1:21">
      <c r="A115" t="s">
        <v>283</v>
      </c>
      <c r="B115" t="s">
        <v>115</v>
      </c>
      <c r="C115" s="2" t="s">
        <v>284</v>
      </c>
      <c r="D115" s="2" t="str">
        <f t="shared" si="4"/>
        <v>Abubakar Ewing</v>
      </c>
      <c r="E115">
        <v>53</v>
      </c>
      <c r="F115" s="3" t="str">
        <f t="shared" si="5"/>
        <v>50-59</v>
      </c>
      <c r="G115" t="s">
        <v>159</v>
      </c>
      <c r="H115" t="s">
        <v>51</v>
      </c>
      <c r="I115" t="s">
        <v>36</v>
      </c>
      <c r="J115">
        <v>5</v>
      </c>
      <c r="K115" t="s">
        <v>68</v>
      </c>
      <c r="L115">
        <v>18</v>
      </c>
      <c r="M115" t="s">
        <v>82</v>
      </c>
      <c r="N115">
        <v>30000</v>
      </c>
      <c r="O115">
        <v>8</v>
      </c>
      <c r="P115">
        <v>240000</v>
      </c>
      <c r="Q115">
        <v>155.26</v>
      </c>
      <c r="R115" t="s">
        <v>46</v>
      </c>
      <c r="S115" t="s">
        <v>47</v>
      </c>
      <c r="T115">
        <f t="shared" si="6"/>
        <v>0</v>
      </c>
      <c r="U115" t="str">
        <f t="shared" si="7"/>
        <v>13-24 Months</v>
      </c>
    </row>
    <row r="116" spans="1:21">
      <c r="A116" t="s">
        <v>285</v>
      </c>
      <c r="B116" t="s">
        <v>115</v>
      </c>
      <c r="C116" s="2" t="s">
        <v>284</v>
      </c>
      <c r="D116" s="2" t="str">
        <f t="shared" si="4"/>
        <v>Abubakar Ewing</v>
      </c>
      <c r="E116">
        <v>53</v>
      </c>
      <c r="F116" s="3" t="str">
        <f t="shared" si="5"/>
        <v>50-59</v>
      </c>
      <c r="G116" t="s">
        <v>159</v>
      </c>
      <c r="H116" t="s">
        <v>43</v>
      </c>
      <c r="I116" t="s">
        <v>36</v>
      </c>
      <c r="J116">
        <v>5</v>
      </c>
      <c r="K116" t="s">
        <v>68</v>
      </c>
      <c r="L116">
        <v>18</v>
      </c>
      <c r="M116" t="s">
        <v>156</v>
      </c>
      <c r="N116">
        <v>25000</v>
      </c>
      <c r="O116">
        <v>7</v>
      </c>
      <c r="P116">
        <v>175000</v>
      </c>
      <c r="Q116">
        <v>44.19</v>
      </c>
      <c r="R116" t="s">
        <v>46</v>
      </c>
      <c r="S116" t="s">
        <v>47</v>
      </c>
      <c r="T116">
        <f t="shared" si="6"/>
        <v>0</v>
      </c>
      <c r="U116" t="str">
        <f t="shared" si="7"/>
        <v>13-24 Months</v>
      </c>
    </row>
    <row r="117" spans="1:21">
      <c r="A117" t="s">
        <v>286</v>
      </c>
      <c r="B117" t="s">
        <v>115</v>
      </c>
      <c r="C117" s="2" t="s">
        <v>284</v>
      </c>
      <c r="D117" s="2" t="str">
        <f t="shared" si="4"/>
        <v>Abubakar Ewing</v>
      </c>
      <c r="E117">
        <v>53</v>
      </c>
      <c r="F117" s="3" t="str">
        <f t="shared" si="5"/>
        <v>50-59</v>
      </c>
      <c r="G117" t="s">
        <v>159</v>
      </c>
      <c r="H117" t="s">
        <v>25</v>
      </c>
      <c r="I117" t="s">
        <v>36</v>
      </c>
      <c r="J117">
        <v>5</v>
      </c>
      <c r="K117" t="s">
        <v>68</v>
      </c>
      <c r="L117">
        <v>18</v>
      </c>
      <c r="M117" t="s">
        <v>63</v>
      </c>
      <c r="N117">
        <v>9000</v>
      </c>
      <c r="O117">
        <v>5</v>
      </c>
      <c r="P117">
        <v>45000</v>
      </c>
      <c r="Q117">
        <v>135.71</v>
      </c>
      <c r="R117" t="s">
        <v>46</v>
      </c>
      <c r="S117" t="s">
        <v>47</v>
      </c>
      <c r="T117">
        <f t="shared" si="6"/>
        <v>0</v>
      </c>
      <c r="U117" t="str">
        <f t="shared" si="7"/>
        <v>13-24 Months</v>
      </c>
    </row>
    <row r="118" spans="1:21" hidden="1">
      <c r="A118" t="s">
        <v>287</v>
      </c>
      <c r="B118" t="s">
        <v>22</v>
      </c>
      <c r="C118" s="2" t="s">
        <v>288</v>
      </c>
      <c r="D118" s="2" t="str">
        <f t="shared" si="4"/>
        <v>Ngozi Henson</v>
      </c>
      <c r="E118">
        <v>21</v>
      </c>
      <c r="F118" s="3" t="str">
        <f t="shared" si="5"/>
        <v>20-29</v>
      </c>
      <c r="G118" t="s">
        <v>206</v>
      </c>
      <c r="H118" t="s">
        <v>35</v>
      </c>
      <c r="I118" t="s">
        <v>36</v>
      </c>
      <c r="J118">
        <v>2</v>
      </c>
      <c r="K118" t="s">
        <v>27</v>
      </c>
      <c r="L118">
        <v>3</v>
      </c>
      <c r="M118" t="s">
        <v>93</v>
      </c>
      <c r="N118">
        <v>350</v>
      </c>
      <c r="O118">
        <v>18</v>
      </c>
      <c r="P118">
        <v>6300</v>
      </c>
      <c r="Q118">
        <v>26.87</v>
      </c>
      <c r="R118" t="s">
        <v>29</v>
      </c>
      <c r="S118" t="s">
        <v>129</v>
      </c>
      <c r="T118">
        <f t="shared" si="6"/>
        <v>6300</v>
      </c>
      <c r="U118" t="str">
        <f t="shared" si="7"/>
        <v>0-6 Months</v>
      </c>
    </row>
    <row r="119" spans="1:21" hidden="1">
      <c r="A119" t="s">
        <v>289</v>
      </c>
      <c r="B119" t="s">
        <v>22</v>
      </c>
      <c r="C119" s="2" t="s">
        <v>288</v>
      </c>
      <c r="D119" s="2" t="str">
        <f t="shared" si="4"/>
        <v>Ngozi Henson</v>
      </c>
      <c r="E119">
        <v>21</v>
      </c>
      <c r="F119" s="3" t="str">
        <f t="shared" si="5"/>
        <v>20-29</v>
      </c>
      <c r="G119" t="s">
        <v>206</v>
      </c>
      <c r="H119" t="s">
        <v>51</v>
      </c>
      <c r="I119" t="s">
        <v>36</v>
      </c>
      <c r="J119">
        <v>2</v>
      </c>
      <c r="K119" t="s">
        <v>27</v>
      </c>
      <c r="L119">
        <v>3</v>
      </c>
      <c r="M119" t="s">
        <v>82</v>
      </c>
      <c r="N119">
        <v>30000</v>
      </c>
      <c r="O119">
        <v>9</v>
      </c>
      <c r="P119">
        <v>270000</v>
      </c>
      <c r="Q119">
        <v>106.41</v>
      </c>
      <c r="R119" t="s">
        <v>29</v>
      </c>
      <c r="S119" t="s">
        <v>129</v>
      </c>
      <c r="T119">
        <f t="shared" si="6"/>
        <v>270000</v>
      </c>
      <c r="U119" t="str">
        <f t="shared" si="7"/>
        <v>0-6 Months</v>
      </c>
    </row>
    <row r="120" spans="1:21">
      <c r="A120" t="s">
        <v>290</v>
      </c>
      <c r="B120" t="s">
        <v>192</v>
      </c>
      <c r="C120" s="2" t="s">
        <v>291</v>
      </c>
      <c r="D120" s="2" t="str">
        <f t="shared" si="4"/>
        <v>Amina Flores</v>
      </c>
      <c r="E120">
        <v>48</v>
      </c>
      <c r="F120" s="3" t="str">
        <f t="shared" si="5"/>
        <v>40-49</v>
      </c>
      <c r="G120" t="s">
        <v>292</v>
      </c>
      <c r="H120" t="s">
        <v>25</v>
      </c>
      <c r="I120" t="s">
        <v>36</v>
      </c>
      <c r="J120">
        <v>1</v>
      </c>
      <c r="K120" t="s">
        <v>44</v>
      </c>
      <c r="L120">
        <v>48</v>
      </c>
      <c r="M120" t="s">
        <v>57</v>
      </c>
      <c r="N120">
        <v>4500</v>
      </c>
      <c r="O120">
        <v>13</v>
      </c>
      <c r="P120">
        <v>58500</v>
      </c>
      <c r="Q120">
        <v>172.1</v>
      </c>
      <c r="R120" t="s">
        <v>46</v>
      </c>
      <c r="S120" t="s">
        <v>47</v>
      </c>
      <c r="T120">
        <f t="shared" si="6"/>
        <v>0</v>
      </c>
      <c r="U120" t="str">
        <f t="shared" si="7"/>
        <v>24+ Months</v>
      </c>
    </row>
    <row r="121" spans="1:21">
      <c r="A121" t="s">
        <v>293</v>
      </c>
      <c r="B121" t="s">
        <v>54</v>
      </c>
      <c r="C121" s="2" t="s">
        <v>122</v>
      </c>
      <c r="D121" s="2" t="str">
        <f t="shared" si="4"/>
        <v>Ejiro Ford</v>
      </c>
      <c r="E121">
        <v>27</v>
      </c>
      <c r="F121" s="3" t="str">
        <f t="shared" si="5"/>
        <v>20-29</v>
      </c>
      <c r="G121" t="s">
        <v>106</v>
      </c>
      <c r="H121" t="s">
        <v>43</v>
      </c>
      <c r="I121" t="s">
        <v>26</v>
      </c>
      <c r="J121">
        <v>4</v>
      </c>
      <c r="K121" t="s">
        <v>155</v>
      </c>
      <c r="L121">
        <v>17</v>
      </c>
      <c r="M121" t="s">
        <v>156</v>
      </c>
      <c r="N121">
        <v>25000</v>
      </c>
      <c r="O121">
        <v>8</v>
      </c>
      <c r="P121">
        <v>200000</v>
      </c>
      <c r="Q121">
        <v>22.12</v>
      </c>
      <c r="R121" t="s">
        <v>46</v>
      </c>
      <c r="S121" t="s">
        <v>47</v>
      </c>
      <c r="T121">
        <f t="shared" si="6"/>
        <v>0</v>
      </c>
      <c r="U121" t="str">
        <f t="shared" si="7"/>
        <v>13-24 Months</v>
      </c>
    </row>
    <row r="122" spans="1:21">
      <c r="A122" t="s">
        <v>294</v>
      </c>
      <c r="B122" t="s">
        <v>54</v>
      </c>
      <c r="C122" s="2" t="s">
        <v>122</v>
      </c>
      <c r="D122" s="2" t="str">
        <f t="shared" si="4"/>
        <v>Ejiro Ford</v>
      </c>
      <c r="E122">
        <v>27</v>
      </c>
      <c r="F122" s="3" t="str">
        <f t="shared" si="5"/>
        <v>20-29</v>
      </c>
      <c r="G122" t="s">
        <v>106</v>
      </c>
      <c r="H122" t="s">
        <v>35</v>
      </c>
      <c r="I122" t="s">
        <v>26</v>
      </c>
      <c r="J122">
        <v>4</v>
      </c>
      <c r="K122" t="s">
        <v>155</v>
      </c>
      <c r="L122">
        <v>17</v>
      </c>
      <c r="M122" t="s">
        <v>37</v>
      </c>
      <c r="N122">
        <v>5500</v>
      </c>
      <c r="O122">
        <v>18</v>
      </c>
      <c r="P122">
        <v>99000</v>
      </c>
      <c r="Q122">
        <v>5.49</v>
      </c>
      <c r="R122" t="s">
        <v>46</v>
      </c>
      <c r="S122" t="s">
        <v>47</v>
      </c>
      <c r="T122">
        <f t="shared" si="6"/>
        <v>0</v>
      </c>
      <c r="U122" t="str">
        <f t="shared" si="7"/>
        <v>13-24 Months</v>
      </c>
    </row>
    <row r="123" spans="1:21">
      <c r="A123" t="s">
        <v>295</v>
      </c>
      <c r="B123" t="s">
        <v>54</v>
      </c>
      <c r="C123" s="2" t="s">
        <v>122</v>
      </c>
      <c r="D123" s="2" t="str">
        <f t="shared" si="4"/>
        <v>Ejiro Ford</v>
      </c>
      <c r="E123">
        <v>27</v>
      </c>
      <c r="F123" s="3" t="str">
        <f t="shared" si="5"/>
        <v>20-29</v>
      </c>
      <c r="G123" t="s">
        <v>106</v>
      </c>
      <c r="H123" t="s">
        <v>25</v>
      </c>
      <c r="I123" t="s">
        <v>26</v>
      </c>
      <c r="J123">
        <v>4</v>
      </c>
      <c r="K123" t="s">
        <v>155</v>
      </c>
      <c r="L123">
        <v>17</v>
      </c>
      <c r="M123" t="s">
        <v>63</v>
      </c>
      <c r="N123">
        <v>9000</v>
      </c>
      <c r="O123">
        <v>8</v>
      </c>
      <c r="P123">
        <v>72000</v>
      </c>
      <c r="Q123">
        <v>183.09</v>
      </c>
      <c r="R123" t="s">
        <v>46</v>
      </c>
      <c r="S123" t="s">
        <v>47</v>
      </c>
      <c r="T123">
        <f t="shared" si="6"/>
        <v>0</v>
      </c>
      <c r="U123" t="str">
        <f t="shared" si="7"/>
        <v>13-24 Months</v>
      </c>
    </row>
    <row r="124" spans="1:21">
      <c r="A124" t="s">
        <v>296</v>
      </c>
      <c r="B124" t="s">
        <v>121</v>
      </c>
      <c r="C124" s="2" t="s">
        <v>297</v>
      </c>
      <c r="D124" s="2" t="str">
        <f t="shared" si="4"/>
        <v>Kunle Shaw</v>
      </c>
      <c r="E124">
        <v>75</v>
      </c>
      <c r="F124" s="3" t="str">
        <f t="shared" si="5"/>
        <v>70-79</v>
      </c>
      <c r="G124" t="s">
        <v>206</v>
      </c>
      <c r="H124" t="s">
        <v>35</v>
      </c>
      <c r="I124" t="s">
        <v>36</v>
      </c>
      <c r="J124">
        <v>1</v>
      </c>
      <c r="K124" t="s">
        <v>44</v>
      </c>
      <c r="L124">
        <v>8</v>
      </c>
      <c r="M124" t="s">
        <v>108</v>
      </c>
      <c r="N124">
        <v>1000</v>
      </c>
      <c r="O124">
        <v>18</v>
      </c>
      <c r="P124">
        <v>18000</v>
      </c>
      <c r="Q124">
        <v>47.34</v>
      </c>
      <c r="R124" t="s">
        <v>46</v>
      </c>
      <c r="S124" t="s">
        <v>47</v>
      </c>
      <c r="T124">
        <f t="shared" si="6"/>
        <v>0</v>
      </c>
      <c r="U124" t="str">
        <f t="shared" si="7"/>
        <v>7-12 Months</v>
      </c>
    </row>
    <row r="125" spans="1:21">
      <c r="A125" t="s">
        <v>298</v>
      </c>
      <c r="B125" t="s">
        <v>121</v>
      </c>
      <c r="C125" s="2" t="s">
        <v>297</v>
      </c>
      <c r="D125" s="2" t="str">
        <f t="shared" si="4"/>
        <v>Kunle Shaw</v>
      </c>
      <c r="E125">
        <v>75</v>
      </c>
      <c r="F125" s="3" t="str">
        <f t="shared" si="5"/>
        <v>70-79</v>
      </c>
      <c r="G125" t="s">
        <v>206</v>
      </c>
      <c r="H125" t="s">
        <v>51</v>
      </c>
      <c r="I125" t="s">
        <v>36</v>
      </c>
      <c r="J125">
        <v>1</v>
      </c>
      <c r="K125" t="s">
        <v>44</v>
      </c>
      <c r="L125">
        <v>8</v>
      </c>
      <c r="M125" t="s">
        <v>45</v>
      </c>
      <c r="N125">
        <v>20000</v>
      </c>
      <c r="O125">
        <v>12</v>
      </c>
      <c r="P125">
        <v>240000</v>
      </c>
      <c r="Q125">
        <v>78.03</v>
      </c>
      <c r="R125" t="s">
        <v>46</v>
      </c>
      <c r="S125" t="s">
        <v>47</v>
      </c>
      <c r="T125">
        <f t="shared" si="6"/>
        <v>0</v>
      </c>
      <c r="U125" t="str">
        <f t="shared" si="7"/>
        <v>7-12 Months</v>
      </c>
    </row>
    <row r="126" spans="1:21">
      <c r="A126" t="s">
        <v>299</v>
      </c>
      <c r="B126" t="s">
        <v>131</v>
      </c>
      <c r="C126" s="2" t="s">
        <v>300</v>
      </c>
      <c r="D126" s="2" t="str">
        <f t="shared" si="4"/>
        <v>David Schneider</v>
      </c>
      <c r="E126">
        <v>69</v>
      </c>
      <c r="F126" s="3" t="str">
        <f t="shared" si="5"/>
        <v>60-69</v>
      </c>
      <c r="G126" t="s">
        <v>67</v>
      </c>
      <c r="H126" t="s">
        <v>51</v>
      </c>
      <c r="I126" t="s">
        <v>36</v>
      </c>
      <c r="J126">
        <v>4</v>
      </c>
      <c r="K126" t="s">
        <v>155</v>
      </c>
      <c r="L126">
        <v>42</v>
      </c>
      <c r="M126" t="s">
        <v>82</v>
      </c>
      <c r="N126">
        <v>30000</v>
      </c>
      <c r="O126">
        <v>15</v>
      </c>
      <c r="P126">
        <v>450000</v>
      </c>
      <c r="Q126">
        <v>43.85</v>
      </c>
      <c r="R126" t="s">
        <v>46</v>
      </c>
      <c r="S126" t="s">
        <v>47</v>
      </c>
      <c r="T126">
        <f t="shared" si="6"/>
        <v>0</v>
      </c>
      <c r="U126" t="str">
        <f t="shared" si="7"/>
        <v>24+ Months</v>
      </c>
    </row>
    <row r="127" spans="1:21">
      <c r="A127" t="s">
        <v>301</v>
      </c>
      <c r="B127" t="s">
        <v>131</v>
      </c>
      <c r="C127" s="2" t="s">
        <v>300</v>
      </c>
      <c r="D127" s="2" t="str">
        <f t="shared" si="4"/>
        <v>David Schneider</v>
      </c>
      <c r="E127">
        <v>69</v>
      </c>
      <c r="F127" s="3" t="str">
        <f t="shared" si="5"/>
        <v>60-69</v>
      </c>
      <c r="G127" t="s">
        <v>67</v>
      </c>
      <c r="H127" t="s">
        <v>43</v>
      </c>
      <c r="I127" t="s">
        <v>36</v>
      </c>
      <c r="J127">
        <v>4</v>
      </c>
      <c r="K127" t="s">
        <v>155</v>
      </c>
      <c r="L127">
        <v>42</v>
      </c>
      <c r="M127" t="s">
        <v>91</v>
      </c>
      <c r="N127">
        <v>14500</v>
      </c>
      <c r="O127">
        <v>4</v>
      </c>
      <c r="P127">
        <v>58000</v>
      </c>
      <c r="Q127">
        <v>171.16</v>
      </c>
      <c r="R127" t="s">
        <v>46</v>
      </c>
      <c r="S127" t="s">
        <v>47</v>
      </c>
      <c r="T127">
        <f t="shared" si="6"/>
        <v>0</v>
      </c>
      <c r="U127" t="str">
        <f t="shared" si="7"/>
        <v>24+ Months</v>
      </c>
    </row>
    <row r="128" spans="1:21">
      <c r="A128" t="s">
        <v>302</v>
      </c>
      <c r="B128" t="s">
        <v>54</v>
      </c>
      <c r="C128" s="2" t="s">
        <v>268</v>
      </c>
      <c r="D128" s="2" t="str">
        <f t="shared" si="4"/>
        <v>Ejiro Smith</v>
      </c>
      <c r="E128">
        <v>61</v>
      </c>
      <c r="F128" s="3" t="str">
        <f t="shared" si="5"/>
        <v>60-69</v>
      </c>
      <c r="G128" t="s">
        <v>61</v>
      </c>
      <c r="H128" t="s">
        <v>51</v>
      </c>
      <c r="I128" t="s">
        <v>36</v>
      </c>
      <c r="J128">
        <v>1</v>
      </c>
      <c r="K128" t="s">
        <v>44</v>
      </c>
      <c r="L128">
        <v>18</v>
      </c>
      <c r="M128" t="s">
        <v>45</v>
      </c>
      <c r="N128">
        <v>20000</v>
      </c>
      <c r="O128">
        <v>20</v>
      </c>
      <c r="P128">
        <v>400000</v>
      </c>
      <c r="Q128">
        <v>128.52000000000001</v>
      </c>
      <c r="R128" t="s">
        <v>46</v>
      </c>
      <c r="S128" t="s">
        <v>47</v>
      </c>
      <c r="T128">
        <f t="shared" si="6"/>
        <v>0</v>
      </c>
      <c r="U128" t="str">
        <f t="shared" si="7"/>
        <v>13-24 Months</v>
      </c>
    </row>
    <row r="129" spans="1:21">
      <c r="A129" t="s">
        <v>303</v>
      </c>
      <c r="B129" t="s">
        <v>54</v>
      </c>
      <c r="C129" s="2" t="s">
        <v>268</v>
      </c>
      <c r="D129" s="2" t="str">
        <f t="shared" si="4"/>
        <v>Ejiro Smith</v>
      </c>
      <c r="E129">
        <v>61</v>
      </c>
      <c r="F129" s="3" t="str">
        <f t="shared" si="5"/>
        <v>60-69</v>
      </c>
      <c r="G129" t="s">
        <v>61</v>
      </c>
      <c r="H129" t="s">
        <v>43</v>
      </c>
      <c r="I129" t="s">
        <v>36</v>
      </c>
      <c r="J129">
        <v>1</v>
      </c>
      <c r="K129" t="s">
        <v>44</v>
      </c>
      <c r="L129">
        <v>18</v>
      </c>
      <c r="M129" t="s">
        <v>52</v>
      </c>
      <c r="N129">
        <v>9000</v>
      </c>
      <c r="O129">
        <v>11</v>
      </c>
      <c r="P129">
        <v>99000</v>
      </c>
      <c r="Q129">
        <v>10.59</v>
      </c>
      <c r="R129" t="s">
        <v>46</v>
      </c>
      <c r="S129" t="s">
        <v>47</v>
      </c>
      <c r="T129">
        <f t="shared" si="6"/>
        <v>0</v>
      </c>
      <c r="U129" t="str">
        <f t="shared" si="7"/>
        <v>13-24 Months</v>
      </c>
    </row>
    <row r="130" spans="1:21" hidden="1">
      <c r="A130" t="s">
        <v>304</v>
      </c>
      <c r="B130" t="s">
        <v>87</v>
      </c>
      <c r="C130" s="2" t="s">
        <v>196</v>
      </c>
      <c r="D130" s="2" t="str">
        <f t="shared" si="4"/>
        <v>Halima Anderson</v>
      </c>
      <c r="E130">
        <v>32</v>
      </c>
      <c r="F130" s="3" t="str">
        <f t="shared" si="5"/>
        <v>30-39</v>
      </c>
      <c r="G130" t="s">
        <v>102</v>
      </c>
      <c r="H130" t="s">
        <v>43</v>
      </c>
      <c r="I130" t="s">
        <v>26</v>
      </c>
      <c r="J130">
        <v>5</v>
      </c>
      <c r="K130" t="s">
        <v>68</v>
      </c>
      <c r="L130">
        <v>54</v>
      </c>
      <c r="M130" t="s">
        <v>82</v>
      </c>
      <c r="N130">
        <v>30000</v>
      </c>
      <c r="O130">
        <v>20</v>
      </c>
      <c r="P130">
        <v>600000</v>
      </c>
      <c r="Q130">
        <v>157.83000000000001</v>
      </c>
      <c r="R130" t="s">
        <v>29</v>
      </c>
      <c r="S130" t="s">
        <v>38</v>
      </c>
      <c r="T130">
        <f t="shared" si="6"/>
        <v>600000</v>
      </c>
      <c r="U130" t="str">
        <f t="shared" si="7"/>
        <v>24+ Months</v>
      </c>
    </row>
    <row r="131" spans="1:21" hidden="1">
      <c r="A131" t="s">
        <v>305</v>
      </c>
      <c r="B131" t="s">
        <v>126</v>
      </c>
      <c r="C131" s="2" t="s">
        <v>306</v>
      </c>
      <c r="D131" s="2" t="str">
        <f t="shared" ref="D131:D194" si="8">B131&amp;" "&amp;C131</f>
        <v>Tunde Oliver</v>
      </c>
      <c r="E131">
        <v>51</v>
      </c>
      <c r="F131" s="3" t="str">
        <f t="shared" ref="F131:F194" si="9">FLOOR(E131, 10)&amp;"-"&amp;FLOOR(E131, 10)+9</f>
        <v>50-59</v>
      </c>
      <c r="G131" t="s">
        <v>67</v>
      </c>
      <c r="H131" t="s">
        <v>25</v>
      </c>
      <c r="I131" t="s">
        <v>26</v>
      </c>
      <c r="J131">
        <v>2</v>
      </c>
      <c r="K131" t="s">
        <v>27</v>
      </c>
      <c r="L131">
        <v>35</v>
      </c>
      <c r="M131" t="s">
        <v>73</v>
      </c>
      <c r="N131">
        <v>16000</v>
      </c>
      <c r="O131">
        <v>8</v>
      </c>
      <c r="P131">
        <v>128000</v>
      </c>
      <c r="Q131">
        <v>71.97</v>
      </c>
      <c r="R131" t="s">
        <v>29</v>
      </c>
      <c r="S131" t="s">
        <v>38</v>
      </c>
      <c r="T131">
        <f t="shared" ref="T131:T194" si="10">IF(R131="Yes",P131,0)</f>
        <v>128000</v>
      </c>
      <c r="U131" t="str">
        <f t="shared" ref="U131:U194" si="11">IF(L131&lt;=6,"0-6 Months",
IF(L131&lt;=12,"7-12 Months",
IF(L131&lt;=24,"13-24 Months","24+ Months")))</f>
        <v>24+ Months</v>
      </c>
    </row>
    <row r="132" spans="1:21">
      <c r="A132" t="s">
        <v>307</v>
      </c>
      <c r="B132" t="s">
        <v>166</v>
      </c>
      <c r="C132" s="2" t="s">
        <v>308</v>
      </c>
      <c r="D132" s="2" t="str">
        <f t="shared" si="8"/>
        <v>Ese Obrien</v>
      </c>
      <c r="E132">
        <v>18</v>
      </c>
      <c r="F132" s="3" t="str">
        <f t="shared" si="9"/>
        <v>10-19</v>
      </c>
      <c r="G132" t="s">
        <v>179</v>
      </c>
      <c r="H132" t="s">
        <v>25</v>
      </c>
      <c r="I132" t="s">
        <v>36</v>
      </c>
      <c r="J132">
        <v>4</v>
      </c>
      <c r="K132" t="s">
        <v>155</v>
      </c>
      <c r="L132">
        <v>4</v>
      </c>
      <c r="M132" t="s">
        <v>57</v>
      </c>
      <c r="N132">
        <v>4500</v>
      </c>
      <c r="O132">
        <v>4</v>
      </c>
      <c r="P132">
        <v>18000</v>
      </c>
      <c r="Q132">
        <v>102.89</v>
      </c>
      <c r="R132" t="s">
        <v>46</v>
      </c>
      <c r="S132" t="s">
        <v>47</v>
      </c>
      <c r="T132">
        <f t="shared" si="10"/>
        <v>0</v>
      </c>
      <c r="U132" t="str">
        <f t="shared" si="11"/>
        <v>0-6 Months</v>
      </c>
    </row>
    <row r="133" spans="1:21">
      <c r="A133" t="s">
        <v>309</v>
      </c>
      <c r="B133" t="s">
        <v>182</v>
      </c>
      <c r="C133" s="2" t="s">
        <v>310</v>
      </c>
      <c r="D133" s="2" t="str">
        <f t="shared" si="8"/>
        <v>Alabo Keith</v>
      </c>
      <c r="E133">
        <v>80</v>
      </c>
      <c r="F133" s="3" t="str">
        <f t="shared" si="9"/>
        <v>80-89</v>
      </c>
      <c r="G133" t="s">
        <v>154</v>
      </c>
      <c r="H133" t="s">
        <v>51</v>
      </c>
      <c r="I133" t="s">
        <v>26</v>
      </c>
      <c r="J133">
        <v>4</v>
      </c>
      <c r="K133" t="s">
        <v>155</v>
      </c>
      <c r="L133">
        <v>47</v>
      </c>
      <c r="M133" t="s">
        <v>91</v>
      </c>
      <c r="N133">
        <v>14500</v>
      </c>
      <c r="O133">
        <v>14</v>
      </c>
      <c r="P133">
        <v>203000</v>
      </c>
      <c r="Q133">
        <v>169.54</v>
      </c>
      <c r="R133" t="s">
        <v>46</v>
      </c>
      <c r="S133" t="s">
        <v>47</v>
      </c>
      <c r="T133">
        <f t="shared" si="10"/>
        <v>0</v>
      </c>
      <c r="U133" t="str">
        <f t="shared" si="11"/>
        <v>24+ Months</v>
      </c>
    </row>
    <row r="134" spans="1:21">
      <c r="A134" t="s">
        <v>311</v>
      </c>
      <c r="B134" t="s">
        <v>22</v>
      </c>
      <c r="C134" s="2" t="s">
        <v>312</v>
      </c>
      <c r="D134" s="2" t="str">
        <f t="shared" si="8"/>
        <v>Ngozi Hernandez</v>
      </c>
      <c r="E134">
        <v>78</v>
      </c>
      <c r="F134" s="3" t="str">
        <f t="shared" si="9"/>
        <v>70-79</v>
      </c>
      <c r="G134" t="s">
        <v>272</v>
      </c>
      <c r="H134" t="s">
        <v>25</v>
      </c>
      <c r="I134" t="s">
        <v>26</v>
      </c>
      <c r="J134">
        <v>3</v>
      </c>
      <c r="K134" t="s">
        <v>62</v>
      </c>
      <c r="L134">
        <v>58</v>
      </c>
      <c r="M134" t="s">
        <v>63</v>
      </c>
      <c r="N134">
        <v>9000</v>
      </c>
      <c r="O134">
        <v>19</v>
      </c>
      <c r="P134">
        <v>171000</v>
      </c>
      <c r="Q134">
        <v>125.05</v>
      </c>
      <c r="R134" t="s">
        <v>46</v>
      </c>
      <c r="S134" t="s">
        <v>47</v>
      </c>
      <c r="T134">
        <f t="shared" si="10"/>
        <v>0</v>
      </c>
      <c r="U134" t="str">
        <f t="shared" si="11"/>
        <v>24+ Months</v>
      </c>
    </row>
    <row r="135" spans="1:21">
      <c r="A135" t="s">
        <v>313</v>
      </c>
      <c r="B135" t="s">
        <v>166</v>
      </c>
      <c r="C135" s="2" t="s">
        <v>314</v>
      </c>
      <c r="D135" s="2" t="str">
        <f t="shared" si="8"/>
        <v>Ese Flowers</v>
      </c>
      <c r="E135">
        <v>64</v>
      </c>
      <c r="F135" s="3" t="str">
        <f t="shared" si="9"/>
        <v>60-69</v>
      </c>
      <c r="G135" t="s">
        <v>96</v>
      </c>
      <c r="H135" t="s">
        <v>35</v>
      </c>
      <c r="I135" t="s">
        <v>36</v>
      </c>
      <c r="J135">
        <v>1</v>
      </c>
      <c r="K135" t="s">
        <v>44</v>
      </c>
      <c r="L135">
        <v>30</v>
      </c>
      <c r="M135" t="s">
        <v>28</v>
      </c>
      <c r="N135">
        <v>35000</v>
      </c>
      <c r="O135">
        <v>8</v>
      </c>
      <c r="P135">
        <v>280000</v>
      </c>
      <c r="Q135">
        <v>90.59</v>
      </c>
      <c r="R135" t="s">
        <v>46</v>
      </c>
      <c r="S135" t="s">
        <v>47</v>
      </c>
      <c r="T135">
        <f t="shared" si="10"/>
        <v>0</v>
      </c>
      <c r="U135" t="str">
        <f t="shared" si="11"/>
        <v>24+ Months</v>
      </c>
    </row>
    <row r="136" spans="1:21">
      <c r="A136" t="s">
        <v>315</v>
      </c>
      <c r="B136" t="s">
        <v>316</v>
      </c>
      <c r="C136" s="2" t="s">
        <v>317</v>
      </c>
      <c r="D136" s="2" t="str">
        <f t="shared" si="8"/>
        <v>Ibim Marshall</v>
      </c>
      <c r="E136">
        <v>59</v>
      </c>
      <c r="F136" s="3" t="str">
        <f t="shared" si="9"/>
        <v>50-59</v>
      </c>
      <c r="G136" t="s">
        <v>42</v>
      </c>
      <c r="H136" t="s">
        <v>43</v>
      </c>
      <c r="I136" t="s">
        <v>36</v>
      </c>
      <c r="J136">
        <v>3</v>
      </c>
      <c r="K136" t="s">
        <v>62</v>
      </c>
      <c r="L136">
        <v>27</v>
      </c>
      <c r="M136" t="s">
        <v>71</v>
      </c>
      <c r="N136">
        <v>150000</v>
      </c>
      <c r="O136">
        <v>3</v>
      </c>
      <c r="P136">
        <v>450000</v>
      </c>
      <c r="Q136">
        <v>13.89</v>
      </c>
      <c r="R136" t="s">
        <v>46</v>
      </c>
      <c r="S136" t="s">
        <v>47</v>
      </c>
      <c r="T136">
        <f t="shared" si="10"/>
        <v>0</v>
      </c>
      <c r="U136" t="str">
        <f t="shared" si="11"/>
        <v>24+ Months</v>
      </c>
    </row>
    <row r="137" spans="1:21">
      <c r="A137" t="s">
        <v>318</v>
      </c>
      <c r="B137" t="s">
        <v>316</v>
      </c>
      <c r="C137" s="2" t="s">
        <v>317</v>
      </c>
      <c r="D137" s="2" t="str">
        <f t="shared" si="8"/>
        <v>Ibim Marshall</v>
      </c>
      <c r="E137">
        <v>59</v>
      </c>
      <c r="F137" s="3" t="str">
        <f t="shared" si="9"/>
        <v>50-59</v>
      </c>
      <c r="G137" t="s">
        <v>42</v>
      </c>
      <c r="H137" t="s">
        <v>25</v>
      </c>
      <c r="I137" t="s">
        <v>36</v>
      </c>
      <c r="J137">
        <v>3</v>
      </c>
      <c r="K137" t="s">
        <v>62</v>
      </c>
      <c r="L137">
        <v>27</v>
      </c>
      <c r="M137" t="s">
        <v>73</v>
      </c>
      <c r="N137">
        <v>16000</v>
      </c>
      <c r="O137">
        <v>12</v>
      </c>
      <c r="P137">
        <v>192000</v>
      </c>
      <c r="Q137">
        <v>86.66</v>
      </c>
      <c r="R137" t="s">
        <v>46</v>
      </c>
      <c r="S137" t="s">
        <v>47</v>
      </c>
      <c r="T137">
        <f t="shared" si="10"/>
        <v>0</v>
      </c>
      <c r="U137" t="str">
        <f t="shared" si="11"/>
        <v>24+ Months</v>
      </c>
    </row>
    <row r="138" spans="1:21">
      <c r="A138" t="s">
        <v>319</v>
      </c>
      <c r="B138" t="s">
        <v>316</v>
      </c>
      <c r="C138" s="2" t="s">
        <v>317</v>
      </c>
      <c r="D138" s="2" t="str">
        <f t="shared" si="8"/>
        <v>Ibim Marshall</v>
      </c>
      <c r="E138">
        <v>59</v>
      </c>
      <c r="F138" s="3" t="str">
        <f t="shared" si="9"/>
        <v>50-59</v>
      </c>
      <c r="G138" t="s">
        <v>42</v>
      </c>
      <c r="H138" t="s">
        <v>51</v>
      </c>
      <c r="I138" t="s">
        <v>36</v>
      </c>
      <c r="J138">
        <v>3</v>
      </c>
      <c r="K138" t="s">
        <v>62</v>
      </c>
      <c r="L138">
        <v>27</v>
      </c>
      <c r="M138" t="s">
        <v>45</v>
      </c>
      <c r="N138">
        <v>20000</v>
      </c>
      <c r="O138">
        <v>19</v>
      </c>
      <c r="P138">
        <v>380000</v>
      </c>
      <c r="Q138">
        <v>111.5</v>
      </c>
      <c r="R138" t="s">
        <v>46</v>
      </c>
      <c r="S138" t="s">
        <v>47</v>
      </c>
      <c r="T138">
        <f t="shared" si="10"/>
        <v>0</v>
      </c>
      <c r="U138" t="str">
        <f t="shared" si="11"/>
        <v>24+ Months</v>
      </c>
    </row>
    <row r="139" spans="1:21">
      <c r="A139" t="s">
        <v>320</v>
      </c>
      <c r="B139" t="s">
        <v>249</v>
      </c>
      <c r="C139" s="2" t="s">
        <v>321</v>
      </c>
      <c r="D139" s="2" t="str">
        <f t="shared" si="8"/>
        <v>Tega Medina</v>
      </c>
      <c r="E139">
        <v>31</v>
      </c>
      <c r="F139" s="3" t="str">
        <f t="shared" si="9"/>
        <v>30-39</v>
      </c>
      <c r="G139" t="s">
        <v>151</v>
      </c>
      <c r="H139" t="s">
        <v>43</v>
      </c>
      <c r="I139" t="s">
        <v>36</v>
      </c>
      <c r="J139">
        <v>1</v>
      </c>
      <c r="K139" t="s">
        <v>44</v>
      </c>
      <c r="L139">
        <v>56</v>
      </c>
      <c r="M139" t="s">
        <v>91</v>
      </c>
      <c r="N139">
        <v>14500</v>
      </c>
      <c r="O139">
        <v>16</v>
      </c>
      <c r="P139">
        <v>232000</v>
      </c>
      <c r="Q139">
        <v>31.37</v>
      </c>
      <c r="R139" t="s">
        <v>46</v>
      </c>
      <c r="S139" t="s">
        <v>47</v>
      </c>
      <c r="T139">
        <f t="shared" si="10"/>
        <v>0</v>
      </c>
      <c r="U139" t="str">
        <f t="shared" si="11"/>
        <v>24+ Months</v>
      </c>
    </row>
    <row r="140" spans="1:21">
      <c r="A140" t="s">
        <v>322</v>
      </c>
      <c r="B140" t="s">
        <v>249</v>
      </c>
      <c r="C140" s="2" t="s">
        <v>321</v>
      </c>
      <c r="D140" s="2" t="str">
        <f t="shared" si="8"/>
        <v>Tega Medina</v>
      </c>
      <c r="E140">
        <v>31</v>
      </c>
      <c r="F140" s="3" t="str">
        <f t="shared" si="9"/>
        <v>30-39</v>
      </c>
      <c r="G140" t="s">
        <v>151</v>
      </c>
      <c r="H140" t="s">
        <v>25</v>
      </c>
      <c r="I140" t="s">
        <v>36</v>
      </c>
      <c r="J140">
        <v>1</v>
      </c>
      <c r="K140" t="s">
        <v>44</v>
      </c>
      <c r="L140">
        <v>56</v>
      </c>
      <c r="M140" t="s">
        <v>57</v>
      </c>
      <c r="N140">
        <v>4500</v>
      </c>
      <c r="O140">
        <v>12</v>
      </c>
      <c r="P140">
        <v>54000</v>
      </c>
      <c r="Q140">
        <v>169.53</v>
      </c>
      <c r="R140" t="s">
        <v>46</v>
      </c>
      <c r="S140" t="s">
        <v>47</v>
      </c>
      <c r="T140">
        <f t="shared" si="10"/>
        <v>0</v>
      </c>
      <c r="U140" t="str">
        <f t="shared" si="11"/>
        <v>24+ Months</v>
      </c>
    </row>
    <row r="141" spans="1:21">
      <c r="A141" t="s">
        <v>323</v>
      </c>
      <c r="B141" t="s">
        <v>249</v>
      </c>
      <c r="C141" s="2" t="s">
        <v>321</v>
      </c>
      <c r="D141" s="2" t="str">
        <f t="shared" si="8"/>
        <v>Tega Medina</v>
      </c>
      <c r="E141">
        <v>31</v>
      </c>
      <c r="F141" s="3" t="str">
        <f t="shared" si="9"/>
        <v>30-39</v>
      </c>
      <c r="G141" t="s">
        <v>151</v>
      </c>
      <c r="H141" t="s">
        <v>51</v>
      </c>
      <c r="I141" t="s">
        <v>36</v>
      </c>
      <c r="J141">
        <v>1</v>
      </c>
      <c r="K141" t="s">
        <v>44</v>
      </c>
      <c r="L141">
        <v>56</v>
      </c>
      <c r="M141" t="s">
        <v>78</v>
      </c>
      <c r="N141">
        <v>24000</v>
      </c>
      <c r="O141">
        <v>9</v>
      </c>
      <c r="P141">
        <v>216000</v>
      </c>
      <c r="Q141">
        <v>73.83</v>
      </c>
      <c r="R141" t="s">
        <v>46</v>
      </c>
      <c r="S141" t="s">
        <v>47</v>
      </c>
      <c r="T141">
        <f t="shared" si="10"/>
        <v>0</v>
      </c>
      <c r="U141" t="str">
        <f t="shared" si="11"/>
        <v>24+ Months</v>
      </c>
    </row>
    <row r="142" spans="1:21">
      <c r="A142" t="s">
        <v>324</v>
      </c>
      <c r="B142" t="s">
        <v>59</v>
      </c>
      <c r="C142" s="2" t="s">
        <v>325</v>
      </c>
      <c r="D142" s="2" t="str">
        <f t="shared" si="8"/>
        <v>Nura Mcneil</v>
      </c>
      <c r="E142">
        <v>70</v>
      </c>
      <c r="F142" s="3" t="str">
        <f t="shared" si="9"/>
        <v>70-79</v>
      </c>
      <c r="G142" t="s">
        <v>159</v>
      </c>
      <c r="H142" t="s">
        <v>43</v>
      </c>
      <c r="I142" t="s">
        <v>36</v>
      </c>
      <c r="J142">
        <v>3</v>
      </c>
      <c r="K142" t="s">
        <v>62</v>
      </c>
      <c r="L142">
        <v>2</v>
      </c>
      <c r="M142" t="s">
        <v>52</v>
      </c>
      <c r="N142">
        <v>9000</v>
      </c>
      <c r="O142">
        <v>5</v>
      </c>
      <c r="P142">
        <v>45000</v>
      </c>
      <c r="Q142">
        <v>36.69</v>
      </c>
      <c r="R142" t="s">
        <v>46</v>
      </c>
      <c r="S142" t="s">
        <v>47</v>
      </c>
      <c r="T142">
        <f t="shared" si="10"/>
        <v>0</v>
      </c>
      <c r="U142" t="str">
        <f t="shared" si="11"/>
        <v>0-6 Months</v>
      </c>
    </row>
    <row r="143" spans="1:21">
      <c r="A143" t="s">
        <v>326</v>
      </c>
      <c r="B143" t="s">
        <v>59</v>
      </c>
      <c r="C143" s="2" t="s">
        <v>325</v>
      </c>
      <c r="D143" s="2" t="str">
        <f t="shared" si="8"/>
        <v>Nura Mcneil</v>
      </c>
      <c r="E143">
        <v>70</v>
      </c>
      <c r="F143" s="3" t="str">
        <f t="shared" si="9"/>
        <v>70-79</v>
      </c>
      <c r="G143" t="s">
        <v>159</v>
      </c>
      <c r="H143" t="s">
        <v>25</v>
      </c>
      <c r="I143" t="s">
        <v>36</v>
      </c>
      <c r="J143">
        <v>3</v>
      </c>
      <c r="K143" t="s">
        <v>62</v>
      </c>
      <c r="L143">
        <v>2</v>
      </c>
      <c r="M143" t="s">
        <v>28</v>
      </c>
      <c r="N143">
        <v>35000</v>
      </c>
      <c r="O143">
        <v>1</v>
      </c>
      <c r="P143">
        <v>35000</v>
      </c>
      <c r="Q143">
        <v>14.38</v>
      </c>
      <c r="R143" t="s">
        <v>46</v>
      </c>
      <c r="S143" t="s">
        <v>47</v>
      </c>
      <c r="T143">
        <f t="shared" si="10"/>
        <v>0</v>
      </c>
      <c r="U143" t="str">
        <f t="shared" si="11"/>
        <v>0-6 Months</v>
      </c>
    </row>
    <row r="144" spans="1:21">
      <c r="A144" t="s">
        <v>327</v>
      </c>
      <c r="B144" t="s">
        <v>219</v>
      </c>
      <c r="C144" s="2" t="s">
        <v>328</v>
      </c>
      <c r="D144" s="2" t="str">
        <f t="shared" si="8"/>
        <v>Chinedu Pitts</v>
      </c>
      <c r="E144">
        <v>43</v>
      </c>
      <c r="F144" s="3" t="str">
        <f t="shared" si="9"/>
        <v>40-49</v>
      </c>
      <c r="G144" t="s">
        <v>77</v>
      </c>
      <c r="H144" t="s">
        <v>43</v>
      </c>
      <c r="I144" t="s">
        <v>36</v>
      </c>
      <c r="J144">
        <v>2</v>
      </c>
      <c r="K144" t="s">
        <v>27</v>
      </c>
      <c r="L144">
        <v>30</v>
      </c>
      <c r="M144" t="s">
        <v>52</v>
      </c>
      <c r="N144">
        <v>9000</v>
      </c>
      <c r="O144">
        <v>20</v>
      </c>
      <c r="P144">
        <v>180000</v>
      </c>
      <c r="Q144">
        <v>31.54</v>
      </c>
      <c r="R144" t="s">
        <v>46</v>
      </c>
      <c r="S144" t="s">
        <v>47</v>
      </c>
      <c r="T144">
        <f t="shared" si="10"/>
        <v>0</v>
      </c>
      <c r="U144" t="str">
        <f t="shared" si="11"/>
        <v>24+ Months</v>
      </c>
    </row>
    <row r="145" spans="1:21">
      <c r="A145" t="s">
        <v>329</v>
      </c>
      <c r="B145" t="s">
        <v>219</v>
      </c>
      <c r="C145" s="2" t="s">
        <v>328</v>
      </c>
      <c r="D145" s="2" t="str">
        <f t="shared" si="8"/>
        <v>Chinedu Pitts</v>
      </c>
      <c r="E145">
        <v>43</v>
      </c>
      <c r="F145" s="3" t="str">
        <f t="shared" si="9"/>
        <v>40-49</v>
      </c>
      <c r="G145" t="s">
        <v>77</v>
      </c>
      <c r="H145" t="s">
        <v>35</v>
      </c>
      <c r="I145" t="s">
        <v>36</v>
      </c>
      <c r="J145">
        <v>2</v>
      </c>
      <c r="K145" t="s">
        <v>27</v>
      </c>
      <c r="L145">
        <v>30</v>
      </c>
      <c r="M145" t="s">
        <v>137</v>
      </c>
      <c r="N145">
        <v>900</v>
      </c>
      <c r="O145">
        <v>9</v>
      </c>
      <c r="P145">
        <v>8100</v>
      </c>
      <c r="Q145">
        <v>134.96</v>
      </c>
      <c r="R145" t="s">
        <v>46</v>
      </c>
      <c r="S145" t="s">
        <v>47</v>
      </c>
      <c r="T145">
        <f t="shared" si="10"/>
        <v>0</v>
      </c>
      <c r="U145" t="str">
        <f t="shared" si="11"/>
        <v>24+ Months</v>
      </c>
    </row>
    <row r="146" spans="1:21">
      <c r="A146" t="s">
        <v>330</v>
      </c>
      <c r="B146" t="s">
        <v>219</v>
      </c>
      <c r="C146" s="2" t="s">
        <v>328</v>
      </c>
      <c r="D146" s="2" t="str">
        <f t="shared" si="8"/>
        <v>Chinedu Pitts</v>
      </c>
      <c r="E146">
        <v>43</v>
      </c>
      <c r="F146" s="3" t="str">
        <f t="shared" si="9"/>
        <v>40-49</v>
      </c>
      <c r="G146" t="s">
        <v>77</v>
      </c>
      <c r="H146" t="s">
        <v>51</v>
      </c>
      <c r="I146" t="s">
        <v>36</v>
      </c>
      <c r="J146">
        <v>2</v>
      </c>
      <c r="K146" t="s">
        <v>27</v>
      </c>
      <c r="L146">
        <v>30</v>
      </c>
      <c r="M146" t="s">
        <v>91</v>
      </c>
      <c r="N146">
        <v>14500</v>
      </c>
      <c r="O146">
        <v>16</v>
      </c>
      <c r="P146">
        <v>232000</v>
      </c>
      <c r="Q146">
        <v>132.56</v>
      </c>
      <c r="R146" t="s">
        <v>46</v>
      </c>
      <c r="S146" t="s">
        <v>47</v>
      </c>
      <c r="T146">
        <f t="shared" si="10"/>
        <v>0</v>
      </c>
      <c r="U146" t="str">
        <f t="shared" si="11"/>
        <v>24+ Months</v>
      </c>
    </row>
    <row r="147" spans="1:21">
      <c r="A147" t="s">
        <v>331</v>
      </c>
      <c r="B147" t="s">
        <v>182</v>
      </c>
      <c r="C147" s="2" t="s">
        <v>332</v>
      </c>
      <c r="D147" s="2" t="str">
        <f t="shared" si="8"/>
        <v>Alabo Kelly</v>
      </c>
      <c r="E147">
        <v>69</v>
      </c>
      <c r="F147" s="3" t="str">
        <f t="shared" si="9"/>
        <v>60-69</v>
      </c>
      <c r="G147" t="s">
        <v>263</v>
      </c>
      <c r="H147" t="s">
        <v>35</v>
      </c>
      <c r="I147" t="s">
        <v>26</v>
      </c>
      <c r="J147">
        <v>3</v>
      </c>
      <c r="K147" t="s">
        <v>62</v>
      </c>
      <c r="L147">
        <v>49</v>
      </c>
      <c r="M147" t="s">
        <v>49</v>
      </c>
      <c r="N147">
        <v>500</v>
      </c>
      <c r="O147">
        <v>13</v>
      </c>
      <c r="P147">
        <v>6500</v>
      </c>
      <c r="Q147">
        <v>9.56</v>
      </c>
      <c r="R147" t="s">
        <v>46</v>
      </c>
      <c r="S147" t="s">
        <v>47</v>
      </c>
      <c r="T147">
        <f t="shared" si="10"/>
        <v>0</v>
      </c>
      <c r="U147" t="str">
        <f t="shared" si="11"/>
        <v>24+ Months</v>
      </c>
    </row>
    <row r="148" spans="1:21">
      <c r="A148" t="s">
        <v>333</v>
      </c>
      <c r="B148" t="s">
        <v>182</v>
      </c>
      <c r="C148" s="2" t="s">
        <v>332</v>
      </c>
      <c r="D148" s="2" t="str">
        <f t="shared" si="8"/>
        <v>Alabo Kelly</v>
      </c>
      <c r="E148">
        <v>69</v>
      </c>
      <c r="F148" s="3" t="str">
        <f t="shared" si="9"/>
        <v>60-69</v>
      </c>
      <c r="G148" t="s">
        <v>263</v>
      </c>
      <c r="H148" t="s">
        <v>43</v>
      </c>
      <c r="I148" t="s">
        <v>26</v>
      </c>
      <c r="J148">
        <v>3</v>
      </c>
      <c r="K148" t="s">
        <v>62</v>
      </c>
      <c r="L148">
        <v>49</v>
      </c>
      <c r="M148" t="s">
        <v>52</v>
      </c>
      <c r="N148">
        <v>9000</v>
      </c>
      <c r="O148">
        <v>10</v>
      </c>
      <c r="P148">
        <v>90000</v>
      </c>
      <c r="Q148">
        <v>2.0299999999999998</v>
      </c>
      <c r="R148" t="s">
        <v>46</v>
      </c>
      <c r="S148" t="s">
        <v>47</v>
      </c>
      <c r="T148">
        <f t="shared" si="10"/>
        <v>0</v>
      </c>
      <c r="U148" t="str">
        <f t="shared" si="11"/>
        <v>24+ Months</v>
      </c>
    </row>
    <row r="149" spans="1:21">
      <c r="A149" t="s">
        <v>334</v>
      </c>
      <c r="B149" t="s">
        <v>335</v>
      </c>
      <c r="C149" s="2" t="s">
        <v>336</v>
      </c>
      <c r="D149" s="2" t="str">
        <f t="shared" si="8"/>
        <v>Fatima Pennington</v>
      </c>
      <c r="E149">
        <v>33</v>
      </c>
      <c r="F149" s="3" t="str">
        <f t="shared" si="9"/>
        <v>30-39</v>
      </c>
      <c r="G149" t="s">
        <v>197</v>
      </c>
      <c r="H149" t="s">
        <v>35</v>
      </c>
      <c r="I149" t="s">
        <v>36</v>
      </c>
      <c r="J149">
        <v>1</v>
      </c>
      <c r="K149" t="s">
        <v>44</v>
      </c>
      <c r="L149">
        <v>21</v>
      </c>
      <c r="M149" t="s">
        <v>28</v>
      </c>
      <c r="N149">
        <v>35000</v>
      </c>
      <c r="O149">
        <v>8</v>
      </c>
      <c r="P149">
        <v>280000</v>
      </c>
      <c r="Q149">
        <v>106.75</v>
      </c>
      <c r="R149" t="s">
        <v>46</v>
      </c>
      <c r="S149" t="s">
        <v>47</v>
      </c>
      <c r="T149">
        <f t="shared" si="10"/>
        <v>0</v>
      </c>
      <c r="U149" t="str">
        <f t="shared" si="11"/>
        <v>13-24 Months</v>
      </c>
    </row>
    <row r="150" spans="1:21">
      <c r="A150" t="s">
        <v>337</v>
      </c>
      <c r="B150" t="s">
        <v>335</v>
      </c>
      <c r="C150" s="2" t="s">
        <v>336</v>
      </c>
      <c r="D150" s="2" t="str">
        <f t="shared" si="8"/>
        <v>Fatima Pennington</v>
      </c>
      <c r="E150">
        <v>33</v>
      </c>
      <c r="F150" s="3" t="str">
        <f t="shared" si="9"/>
        <v>30-39</v>
      </c>
      <c r="G150" t="s">
        <v>197</v>
      </c>
      <c r="H150" t="s">
        <v>51</v>
      </c>
      <c r="I150" t="s">
        <v>36</v>
      </c>
      <c r="J150">
        <v>1</v>
      </c>
      <c r="K150" t="s">
        <v>44</v>
      </c>
      <c r="L150">
        <v>21</v>
      </c>
      <c r="M150" t="s">
        <v>78</v>
      </c>
      <c r="N150">
        <v>24000</v>
      </c>
      <c r="O150">
        <v>12</v>
      </c>
      <c r="P150">
        <v>288000</v>
      </c>
      <c r="Q150">
        <v>111.97</v>
      </c>
      <c r="R150" t="s">
        <v>46</v>
      </c>
      <c r="S150" t="s">
        <v>47</v>
      </c>
      <c r="T150">
        <f t="shared" si="10"/>
        <v>0</v>
      </c>
      <c r="U150" t="str">
        <f t="shared" si="11"/>
        <v>13-24 Months</v>
      </c>
    </row>
    <row r="151" spans="1:21">
      <c r="A151" t="s">
        <v>338</v>
      </c>
      <c r="B151" t="s">
        <v>121</v>
      </c>
      <c r="C151" s="2" t="s">
        <v>277</v>
      </c>
      <c r="D151" s="2" t="str">
        <f t="shared" si="8"/>
        <v>Kunle Williams</v>
      </c>
      <c r="E151">
        <v>66</v>
      </c>
      <c r="F151" s="3" t="str">
        <f t="shared" si="9"/>
        <v>60-69</v>
      </c>
      <c r="G151" t="s">
        <v>175</v>
      </c>
      <c r="H151" t="s">
        <v>35</v>
      </c>
      <c r="I151" t="s">
        <v>36</v>
      </c>
      <c r="J151">
        <v>1</v>
      </c>
      <c r="K151" t="s">
        <v>44</v>
      </c>
      <c r="L151">
        <v>2</v>
      </c>
      <c r="M151" t="s">
        <v>113</v>
      </c>
      <c r="N151">
        <v>7500</v>
      </c>
      <c r="O151">
        <v>13</v>
      </c>
      <c r="P151">
        <v>97500</v>
      </c>
      <c r="Q151">
        <v>58.26</v>
      </c>
      <c r="R151" t="s">
        <v>46</v>
      </c>
      <c r="S151" t="s">
        <v>47</v>
      </c>
      <c r="T151">
        <f t="shared" si="10"/>
        <v>0</v>
      </c>
      <c r="U151" t="str">
        <f t="shared" si="11"/>
        <v>0-6 Months</v>
      </c>
    </row>
    <row r="152" spans="1:21">
      <c r="A152" t="s">
        <v>339</v>
      </c>
      <c r="B152" t="s">
        <v>121</v>
      </c>
      <c r="C152" s="2" t="s">
        <v>277</v>
      </c>
      <c r="D152" s="2" t="str">
        <f t="shared" si="8"/>
        <v>Kunle Williams</v>
      </c>
      <c r="E152">
        <v>66</v>
      </c>
      <c r="F152" s="3" t="str">
        <f t="shared" si="9"/>
        <v>60-69</v>
      </c>
      <c r="G152" t="s">
        <v>175</v>
      </c>
      <c r="H152" t="s">
        <v>43</v>
      </c>
      <c r="I152" t="s">
        <v>36</v>
      </c>
      <c r="J152">
        <v>1</v>
      </c>
      <c r="K152" t="s">
        <v>44</v>
      </c>
      <c r="L152">
        <v>2</v>
      </c>
      <c r="M152" t="s">
        <v>52</v>
      </c>
      <c r="N152">
        <v>9000</v>
      </c>
      <c r="O152">
        <v>6</v>
      </c>
      <c r="P152">
        <v>54000</v>
      </c>
      <c r="Q152">
        <v>193.26</v>
      </c>
      <c r="R152" t="s">
        <v>46</v>
      </c>
      <c r="S152" t="s">
        <v>47</v>
      </c>
      <c r="T152">
        <f t="shared" si="10"/>
        <v>0</v>
      </c>
      <c r="U152" t="str">
        <f t="shared" si="11"/>
        <v>0-6 Months</v>
      </c>
    </row>
    <row r="153" spans="1:21">
      <c r="A153" t="s">
        <v>340</v>
      </c>
      <c r="B153" t="s">
        <v>121</v>
      </c>
      <c r="C153" s="2" t="s">
        <v>277</v>
      </c>
      <c r="D153" s="2" t="str">
        <f t="shared" si="8"/>
        <v>Kunle Williams</v>
      </c>
      <c r="E153">
        <v>66</v>
      </c>
      <c r="F153" s="3" t="str">
        <f t="shared" si="9"/>
        <v>60-69</v>
      </c>
      <c r="G153" t="s">
        <v>175</v>
      </c>
      <c r="H153" t="s">
        <v>25</v>
      </c>
      <c r="I153" t="s">
        <v>36</v>
      </c>
      <c r="J153">
        <v>1</v>
      </c>
      <c r="K153" t="s">
        <v>44</v>
      </c>
      <c r="L153">
        <v>2</v>
      </c>
      <c r="M153" t="s">
        <v>28</v>
      </c>
      <c r="N153">
        <v>35000</v>
      </c>
      <c r="O153">
        <v>12</v>
      </c>
      <c r="P153">
        <v>420000</v>
      </c>
      <c r="Q153">
        <v>166.49</v>
      </c>
      <c r="R153" t="s">
        <v>46</v>
      </c>
      <c r="S153" t="s">
        <v>47</v>
      </c>
      <c r="T153">
        <f t="shared" si="10"/>
        <v>0</v>
      </c>
      <c r="U153" t="str">
        <f t="shared" si="11"/>
        <v>0-6 Months</v>
      </c>
    </row>
    <row r="154" spans="1:21" hidden="1">
      <c r="A154" t="s">
        <v>341</v>
      </c>
      <c r="B154" t="s">
        <v>219</v>
      </c>
      <c r="C154" s="2" t="s">
        <v>342</v>
      </c>
      <c r="D154" s="2" t="str">
        <f t="shared" si="8"/>
        <v>Chinedu Ortiz</v>
      </c>
      <c r="E154">
        <v>71</v>
      </c>
      <c r="F154" s="3" t="str">
        <f t="shared" si="9"/>
        <v>70-79</v>
      </c>
      <c r="G154" t="s">
        <v>128</v>
      </c>
      <c r="H154" t="s">
        <v>43</v>
      </c>
      <c r="I154" t="s">
        <v>26</v>
      </c>
      <c r="J154">
        <v>5</v>
      </c>
      <c r="K154" t="s">
        <v>68</v>
      </c>
      <c r="L154">
        <v>28</v>
      </c>
      <c r="M154" t="s">
        <v>156</v>
      </c>
      <c r="N154">
        <v>25000</v>
      </c>
      <c r="O154">
        <v>3</v>
      </c>
      <c r="P154">
        <v>75000</v>
      </c>
      <c r="Q154">
        <v>155.93</v>
      </c>
      <c r="R154" t="s">
        <v>29</v>
      </c>
      <c r="S154" t="s">
        <v>38</v>
      </c>
      <c r="T154">
        <f t="shared" si="10"/>
        <v>75000</v>
      </c>
      <c r="U154" t="str">
        <f t="shared" si="11"/>
        <v>24+ Months</v>
      </c>
    </row>
    <row r="155" spans="1:21" hidden="1">
      <c r="A155" t="s">
        <v>343</v>
      </c>
      <c r="B155" t="s">
        <v>219</v>
      </c>
      <c r="C155" s="2" t="s">
        <v>342</v>
      </c>
      <c r="D155" s="2" t="str">
        <f t="shared" si="8"/>
        <v>Chinedu Ortiz</v>
      </c>
      <c r="E155">
        <v>71</v>
      </c>
      <c r="F155" s="3" t="str">
        <f t="shared" si="9"/>
        <v>70-79</v>
      </c>
      <c r="G155" t="s">
        <v>128</v>
      </c>
      <c r="H155" t="s">
        <v>51</v>
      </c>
      <c r="I155" t="s">
        <v>26</v>
      </c>
      <c r="J155">
        <v>5</v>
      </c>
      <c r="K155" t="s">
        <v>68</v>
      </c>
      <c r="L155">
        <v>28</v>
      </c>
      <c r="M155" t="s">
        <v>78</v>
      </c>
      <c r="N155">
        <v>24000</v>
      </c>
      <c r="O155">
        <v>17</v>
      </c>
      <c r="P155">
        <v>408000</v>
      </c>
      <c r="Q155">
        <v>126.83</v>
      </c>
      <c r="R155" t="s">
        <v>29</v>
      </c>
      <c r="S155" t="s">
        <v>38</v>
      </c>
      <c r="T155">
        <f t="shared" si="10"/>
        <v>408000</v>
      </c>
      <c r="U155" t="str">
        <f t="shared" si="11"/>
        <v>24+ Months</v>
      </c>
    </row>
    <row r="156" spans="1:21" hidden="1">
      <c r="A156" t="s">
        <v>344</v>
      </c>
      <c r="B156" t="s">
        <v>345</v>
      </c>
      <c r="C156" s="2" t="s">
        <v>342</v>
      </c>
      <c r="D156" s="2" t="str">
        <f t="shared" si="8"/>
        <v>Michael Ortiz</v>
      </c>
      <c r="E156">
        <v>40</v>
      </c>
      <c r="F156" s="3" t="str">
        <f t="shared" si="9"/>
        <v>40-49</v>
      </c>
      <c r="G156" t="s">
        <v>210</v>
      </c>
      <c r="H156" t="s">
        <v>25</v>
      </c>
      <c r="I156" t="s">
        <v>36</v>
      </c>
      <c r="J156">
        <v>2</v>
      </c>
      <c r="K156" t="s">
        <v>27</v>
      </c>
      <c r="L156">
        <v>47</v>
      </c>
      <c r="M156" t="s">
        <v>57</v>
      </c>
      <c r="N156">
        <v>4500</v>
      </c>
      <c r="O156">
        <v>3</v>
      </c>
      <c r="P156">
        <v>13500</v>
      </c>
      <c r="Q156">
        <v>152.16</v>
      </c>
      <c r="R156" t="s">
        <v>29</v>
      </c>
      <c r="S156" t="s">
        <v>129</v>
      </c>
      <c r="T156">
        <f t="shared" si="10"/>
        <v>13500</v>
      </c>
      <c r="U156" t="str">
        <f t="shared" si="11"/>
        <v>24+ Months</v>
      </c>
    </row>
    <row r="157" spans="1:21" hidden="1">
      <c r="A157" t="s">
        <v>346</v>
      </c>
      <c r="B157" t="s">
        <v>149</v>
      </c>
      <c r="C157" s="2" t="s">
        <v>347</v>
      </c>
      <c r="D157" s="2" t="str">
        <f t="shared" si="8"/>
        <v>Shehu Holt</v>
      </c>
      <c r="E157">
        <v>79</v>
      </c>
      <c r="F157" s="3" t="str">
        <f t="shared" si="9"/>
        <v>70-79</v>
      </c>
      <c r="G157" t="s">
        <v>42</v>
      </c>
      <c r="H157" t="s">
        <v>35</v>
      </c>
      <c r="I157" t="s">
        <v>36</v>
      </c>
      <c r="J157">
        <v>3</v>
      </c>
      <c r="K157" t="s">
        <v>62</v>
      </c>
      <c r="L157">
        <v>44</v>
      </c>
      <c r="M157" t="s">
        <v>49</v>
      </c>
      <c r="N157">
        <v>500</v>
      </c>
      <c r="O157">
        <v>19</v>
      </c>
      <c r="P157">
        <v>9500</v>
      </c>
      <c r="Q157">
        <v>159.37</v>
      </c>
      <c r="R157" t="s">
        <v>29</v>
      </c>
      <c r="S157" t="s">
        <v>97</v>
      </c>
      <c r="T157">
        <f t="shared" si="10"/>
        <v>9500</v>
      </c>
      <c r="U157" t="str">
        <f t="shared" si="11"/>
        <v>24+ Months</v>
      </c>
    </row>
    <row r="158" spans="1:21" hidden="1">
      <c r="A158" t="s">
        <v>348</v>
      </c>
      <c r="B158" t="s">
        <v>149</v>
      </c>
      <c r="C158" s="2" t="s">
        <v>347</v>
      </c>
      <c r="D158" s="2" t="str">
        <f t="shared" si="8"/>
        <v>Shehu Holt</v>
      </c>
      <c r="E158">
        <v>79</v>
      </c>
      <c r="F158" s="3" t="str">
        <f t="shared" si="9"/>
        <v>70-79</v>
      </c>
      <c r="G158" t="s">
        <v>42</v>
      </c>
      <c r="H158" t="s">
        <v>43</v>
      </c>
      <c r="I158" t="s">
        <v>36</v>
      </c>
      <c r="J158">
        <v>3</v>
      </c>
      <c r="K158" t="s">
        <v>62</v>
      </c>
      <c r="L158">
        <v>44</v>
      </c>
      <c r="M158" t="s">
        <v>52</v>
      </c>
      <c r="N158">
        <v>9000</v>
      </c>
      <c r="O158">
        <v>3</v>
      </c>
      <c r="P158">
        <v>27000</v>
      </c>
      <c r="Q158">
        <v>70.709999999999994</v>
      </c>
      <c r="R158" t="s">
        <v>29</v>
      </c>
      <c r="S158" t="s">
        <v>97</v>
      </c>
      <c r="T158">
        <f t="shared" si="10"/>
        <v>27000</v>
      </c>
      <c r="U158" t="str">
        <f t="shared" si="11"/>
        <v>24+ Months</v>
      </c>
    </row>
    <row r="159" spans="1:21" hidden="1">
      <c r="A159" t="s">
        <v>349</v>
      </c>
      <c r="B159" t="s">
        <v>169</v>
      </c>
      <c r="C159" s="2" t="s">
        <v>350</v>
      </c>
      <c r="D159" s="2" t="str">
        <f t="shared" si="8"/>
        <v>Maryam Velez</v>
      </c>
      <c r="E159">
        <v>75</v>
      </c>
      <c r="F159" s="3" t="str">
        <f t="shared" si="9"/>
        <v>70-79</v>
      </c>
      <c r="G159" t="s">
        <v>272</v>
      </c>
      <c r="H159" t="s">
        <v>35</v>
      </c>
      <c r="I159" t="s">
        <v>26</v>
      </c>
      <c r="J159">
        <v>3</v>
      </c>
      <c r="K159" t="s">
        <v>62</v>
      </c>
      <c r="L159">
        <v>4</v>
      </c>
      <c r="M159" t="s">
        <v>37</v>
      </c>
      <c r="N159">
        <v>5500</v>
      </c>
      <c r="O159">
        <v>2</v>
      </c>
      <c r="P159">
        <v>11000</v>
      </c>
      <c r="Q159">
        <v>116.28</v>
      </c>
      <c r="R159" t="s">
        <v>29</v>
      </c>
      <c r="S159" t="s">
        <v>38</v>
      </c>
      <c r="T159">
        <f t="shared" si="10"/>
        <v>11000</v>
      </c>
      <c r="U159" t="str">
        <f t="shared" si="11"/>
        <v>0-6 Months</v>
      </c>
    </row>
    <row r="160" spans="1:21">
      <c r="A160" t="s">
        <v>351</v>
      </c>
      <c r="B160" t="s">
        <v>182</v>
      </c>
      <c r="C160" s="2" t="s">
        <v>352</v>
      </c>
      <c r="D160" s="2" t="str">
        <f t="shared" si="8"/>
        <v>Alabo Turner</v>
      </c>
      <c r="E160">
        <v>40</v>
      </c>
      <c r="F160" s="3" t="str">
        <f t="shared" si="9"/>
        <v>40-49</v>
      </c>
      <c r="G160" t="s">
        <v>353</v>
      </c>
      <c r="H160" t="s">
        <v>51</v>
      </c>
      <c r="I160" t="s">
        <v>36</v>
      </c>
      <c r="J160">
        <v>1</v>
      </c>
      <c r="K160" t="s">
        <v>44</v>
      </c>
      <c r="L160">
        <v>33</v>
      </c>
      <c r="M160" t="s">
        <v>45</v>
      </c>
      <c r="N160">
        <v>20000</v>
      </c>
      <c r="O160">
        <v>15</v>
      </c>
      <c r="P160">
        <v>300000</v>
      </c>
      <c r="Q160">
        <v>8.31</v>
      </c>
      <c r="R160" t="s">
        <v>46</v>
      </c>
      <c r="S160" t="s">
        <v>47</v>
      </c>
      <c r="T160">
        <f t="shared" si="10"/>
        <v>0</v>
      </c>
      <c r="U160" t="str">
        <f t="shared" si="11"/>
        <v>24+ Months</v>
      </c>
    </row>
    <row r="161" spans="1:21">
      <c r="A161" t="s">
        <v>354</v>
      </c>
      <c r="B161" t="s">
        <v>182</v>
      </c>
      <c r="C161" s="2" t="s">
        <v>352</v>
      </c>
      <c r="D161" s="2" t="str">
        <f t="shared" si="8"/>
        <v>Alabo Turner</v>
      </c>
      <c r="E161">
        <v>40</v>
      </c>
      <c r="F161" s="3" t="str">
        <f t="shared" si="9"/>
        <v>40-49</v>
      </c>
      <c r="G161" t="s">
        <v>353</v>
      </c>
      <c r="H161" t="s">
        <v>43</v>
      </c>
      <c r="I161" t="s">
        <v>36</v>
      </c>
      <c r="J161">
        <v>1</v>
      </c>
      <c r="K161" t="s">
        <v>44</v>
      </c>
      <c r="L161">
        <v>33</v>
      </c>
      <c r="M161" t="s">
        <v>71</v>
      </c>
      <c r="N161">
        <v>150000</v>
      </c>
      <c r="O161">
        <v>20</v>
      </c>
      <c r="P161">
        <v>3000000</v>
      </c>
      <c r="Q161">
        <v>105.05</v>
      </c>
      <c r="R161" t="s">
        <v>46</v>
      </c>
      <c r="S161" t="s">
        <v>47</v>
      </c>
      <c r="T161">
        <f t="shared" si="10"/>
        <v>0</v>
      </c>
      <c r="U161" t="str">
        <f t="shared" si="11"/>
        <v>24+ Months</v>
      </c>
    </row>
    <row r="162" spans="1:21">
      <c r="A162" t="s">
        <v>355</v>
      </c>
      <c r="B162" t="s">
        <v>192</v>
      </c>
      <c r="C162" s="2" t="s">
        <v>356</v>
      </c>
      <c r="D162" s="2" t="str">
        <f t="shared" si="8"/>
        <v>Amina Rivas</v>
      </c>
      <c r="E162">
        <v>62</v>
      </c>
      <c r="F162" s="3" t="str">
        <f t="shared" si="9"/>
        <v>60-69</v>
      </c>
      <c r="G162" t="s">
        <v>56</v>
      </c>
      <c r="H162" t="s">
        <v>43</v>
      </c>
      <c r="I162" t="s">
        <v>36</v>
      </c>
      <c r="J162">
        <v>3</v>
      </c>
      <c r="K162" t="s">
        <v>62</v>
      </c>
      <c r="L162">
        <v>25</v>
      </c>
      <c r="M162" t="s">
        <v>45</v>
      </c>
      <c r="N162">
        <v>20000</v>
      </c>
      <c r="O162">
        <v>18</v>
      </c>
      <c r="P162">
        <v>360000</v>
      </c>
      <c r="Q162">
        <v>66.27</v>
      </c>
      <c r="R162" t="s">
        <v>46</v>
      </c>
      <c r="S162" t="s">
        <v>47</v>
      </c>
      <c r="T162">
        <f t="shared" si="10"/>
        <v>0</v>
      </c>
      <c r="U162" t="str">
        <f t="shared" si="11"/>
        <v>24+ Months</v>
      </c>
    </row>
    <row r="163" spans="1:21">
      <c r="A163" t="s">
        <v>357</v>
      </c>
      <c r="B163" t="s">
        <v>358</v>
      </c>
      <c r="C163" s="2" t="s">
        <v>359</v>
      </c>
      <c r="D163" s="2" t="str">
        <f t="shared" si="8"/>
        <v>Omamuzo Guerrero</v>
      </c>
      <c r="E163">
        <v>52</v>
      </c>
      <c r="F163" s="3" t="str">
        <f t="shared" si="9"/>
        <v>50-59</v>
      </c>
      <c r="G163" t="s">
        <v>197</v>
      </c>
      <c r="H163" t="s">
        <v>43</v>
      </c>
      <c r="I163" t="s">
        <v>26</v>
      </c>
      <c r="J163">
        <v>5</v>
      </c>
      <c r="K163" t="s">
        <v>68</v>
      </c>
      <c r="L163">
        <v>22</v>
      </c>
      <c r="M163" t="s">
        <v>143</v>
      </c>
      <c r="N163">
        <v>75000</v>
      </c>
      <c r="O163">
        <v>3</v>
      </c>
      <c r="P163">
        <v>225000</v>
      </c>
      <c r="Q163">
        <v>26.23</v>
      </c>
      <c r="R163" t="s">
        <v>46</v>
      </c>
      <c r="S163" t="s">
        <v>47</v>
      </c>
      <c r="T163">
        <f t="shared" si="10"/>
        <v>0</v>
      </c>
      <c r="U163" t="str">
        <f t="shared" si="11"/>
        <v>13-24 Months</v>
      </c>
    </row>
    <row r="164" spans="1:21">
      <c r="A164" t="s">
        <v>360</v>
      </c>
      <c r="B164" t="s">
        <v>358</v>
      </c>
      <c r="C164" s="2" t="s">
        <v>359</v>
      </c>
      <c r="D164" s="2" t="str">
        <f t="shared" si="8"/>
        <v>Omamuzo Guerrero</v>
      </c>
      <c r="E164">
        <v>52</v>
      </c>
      <c r="F164" s="3" t="str">
        <f t="shared" si="9"/>
        <v>50-59</v>
      </c>
      <c r="G164" t="s">
        <v>197</v>
      </c>
      <c r="H164" t="s">
        <v>35</v>
      </c>
      <c r="I164" t="s">
        <v>26</v>
      </c>
      <c r="J164">
        <v>5</v>
      </c>
      <c r="K164" t="s">
        <v>68</v>
      </c>
      <c r="L164">
        <v>22</v>
      </c>
      <c r="M164" t="s">
        <v>49</v>
      </c>
      <c r="N164">
        <v>500</v>
      </c>
      <c r="O164">
        <v>11</v>
      </c>
      <c r="P164">
        <v>5500</v>
      </c>
      <c r="Q164">
        <v>112</v>
      </c>
      <c r="R164" t="s">
        <v>46</v>
      </c>
      <c r="S164" t="s">
        <v>47</v>
      </c>
      <c r="T164">
        <f t="shared" si="10"/>
        <v>0</v>
      </c>
      <c r="U164" t="str">
        <f t="shared" si="11"/>
        <v>13-24 Months</v>
      </c>
    </row>
    <row r="165" spans="1:21" hidden="1">
      <c r="A165" t="s">
        <v>361</v>
      </c>
      <c r="B165" t="s">
        <v>140</v>
      </c>
      <c r="C165" s="2" t="s">
        <v>147</v>
      </c>
      <c r="D165" s="2" t="str">
        <f t="shared" si="8"/>
        <v>Amaka Brown</v>
      </c>
      <c r="E165">
        <v>27</v>
      </c>
      <c r="F165" s="3" t="str">
        <f t="shared" si="9"/>
        <v>20-29</v>
      </c>
      <c r="G165" t="s">
        <v>24</v>
      </c>
      <c r="H165" t="s">
        <v>35</v>
      </c>
      <c r="I165" t="s">
        <v>36</v>
      </c>
      <c r="J165">
        <v>3</v>
      </c>
      <c r="K165" t="s">
        <v>62</v>
      </c>
      <c r="L165">
        <v>2</v>
      </c>
      <c r="M165" t="s">
        <v>93</v>
      </c>
      <c r="N165">
        <v>350</v>
      </c>
      <c r="O165">
        <v>5</v>
      </c>
      <c r="P165">
        <v>1750</v>
      </c>
      <c r="Q165">
        <v>200</v>
      </c>
      <c r="R165" t="s">
        <v>29</v>
      </c>
      <c r="S165" t="s">
        <v>362</v>
      </c>
      <c r="T165">
        <f t="shared" si="10"/>
        <v>1750</v>
      </c>
      <c r="U165" t="str">
        <f t="shared" si="11"/>
        <v>0-6 Months</v>
      </c>
    </row>
    <row r="166" spans="1:21" hidden="1">
      <c r="A166" t="s">
        <v>363</v>
      </c>
      <c r="B166" t="s">
        <v>140</v>
      </c>
      <c r="C166" s="2" t="s">
        <v>147</v>
      </c>
      <c r="D166" s="2" t="str">
        <f t="shared" si="8"/>
        <v>Amaka Brown</v>
      </c>
      <c r="E166">
        <v>27</v>
      </c>
      <c r="F166" s="3" t="str">
        <f t="shared" si="9"/>
        <v>20-29</v>
      </c>
      <c r="G166" t="s">
        <v>24</v>
      </c>
      <c r="H166" t="s">
        <v>51</v>
      </c>
      <c r="I166" t="s">
        <v>36</v>
      </c>
      <c r="J166">
        <v>3</v>
      </c>
      <c r="K166" t="s">
        <v>62</v>
      </c>
      <c r="L166">
        <v>2</v>
      </c>
      <c r="M166" t="s">
        <v>52</v>
      </c>
      <c r="N166">
        <v>9000</v>
      </c>
      <c r="O166">
        <v>4</v>
      </c>
      <c r="P166">
        <v>36000</v>
      </c>
      <c r="Q166">
        <v>59.51</v>
      </c>
      <c r="R166" t="s">
        <v>29</v>
      </c>
      <c r="S166" t="s">
        <v>362</v>
      </c>
      <c r="T166">
        <f t="shared" si="10"/>
        <v>36000</v>
      </c>
      <c r="U166" t="str">
        <f t="shared" si="11"/>
        <v>0-6 Months</v>
      </c>
    </row>
    <row r="167" spans="1:21" hidden="1">
      <c r="A167" t="s">
        <v>364</v>
      </c>
      <c r="B167" t="s">
        <v>345</v>
      </c>
      <c r="C167" s="2" t="s">
        <v>365</v>
      </c>
      <c r="D167" s="2" t="str">
        <f t="shared" si="8"/>
        <v>Michael Schultz</v>
      </c>
      <c r="E167">
        <v>20</v>
      </c>
      <c r="F167" s="3" t="str">
        <f t="shared" si="9"/>
        <v>20-29</v>
      </c>
      <c r="G167" t="s">
        <v>216</v>
      </c>
      <c r="H167" t="s">
        <v>25</v>
      </c>
      <c r="I167" t="s">
        <v>26</v>
      </c>
      <c r="J167">
        <v>2</v>
      </c>
      <c r="K167" t="s">
        <v>27</v>
      </c>
      <c r="L167">
        <v>39</v>
      </c>
      <c r="M167" t="s">
        <v>73</v>
      </c>
      <c r="N167">
        <v>16000</v>
      </c>
      <c r="O167">
        <v>8</v>
      </c>
      <c r="P167">
        <v>128000</v>
      </c>
      <c r="Q167">
        <v>82.47</v>
      </c>
      <c r="R167" t="s">
        <v>29</v>
      </c>
      <c r="S167" t="s">
        <v>38</v>
      </c>
      <c r="T167">
        <f t="shared" si="10"/>
        <v>128000</v>
      </c>
      <c r="U167" t="str">
        <f t="shared" si="11"/>
        <v>24+ Months</v>
      </c>
    </row>
    <row r="168" spans="1:21" hidden="1">
      <c r="A168" t="s">
        <v>366</v>
      </c>
      <c r="B168" t="s">
        <v>345</v>
      </c>
      <c r="C168" s="2" t="s">
        <v>365</v>
      </c>
      <c r="D168" s="2" t="str">
        <f t="shared" si="8"/>
        <v>Michael Schultz</v>
      </c>
      <c r="E168">
        <v>20</v>
      </c>
      <c r="F168" s="3" t="str">
        <f t="shared" si="9"/>
        <v>20-29</v>
      </c>
      <c r="G168" t="s">
        <v>216</v>
      </c>
      <c r="H168" t="s">
        <v>43</v>
      </c>
      <c r="I168" t="s">
        <v>26</v>
      </c>
      <c r="J168">
        <v>2</v>
      </c>
      <c r="K168" t="s">
        <v>27</v>
      </c>
      <c r="L168">
        <v>39</v>
      </c>
      <c r="M168" t="s">
        <v>71</v>
      </c>
      <c r="N168">
        <v>150000</v>
      </c>
      <c r="O168">
        <v>15</v>
      </c>
      <c r="P168">
        <v>2250000</v>
      </c>
      <c r="Q168">
        <v>122.31</v>
      </c>
      <c r="R168" t="s">
        <v>29</v>
      </c>
      <c r="S168" t="s">
        <v>38</v>
      </c>
      <c r="T168">
        <f t="shared" si="10"/>
        <v>2250000</v>
      </c>
      <c r="U168" t="str">
        <f t="shared" si="11"/>
        <v>24+ Months</v>
      </c>
    </row>
    <row r="169" spans="1:21" hidden="1">
      <c r="A169" t="s">
        <v>367</v>
      </c>
      <c r="B169" t="s">
        <v>345</v>
      </c>
      <c r="C169" s="2" t="s">
        <v>365</v>
      </c>
      <c r="D169" s="2" t="str">
        <f t="shared" si="8"/>
        <v>Michael Schultz</v>
      </c>
      <c r="E169">
        <v>20</v>
      </c>
      <c r="F169" s="3" t="str">
        <f t="shared" si="9"/>
        <v>20-29</v>
      </c>
      <c r="G169" t="s">
        <v>216</v>
      </c>
      <c r="H169" t="s">
        <v>35</v>
      </c>
      <c r="I169" t="s">
        <v>26</v>
      </c>
      <c r="J169">
        <v>2</v>
      </c>
      <c r="K169" t="s">
        <v>27</v>
      </c>
      <c r="L169">
        <v>39</v>
      </c>
      <c r="M169" t="s">
        <v>93</v>
      </c>
      <c r="N169">
        <v>350</v>
      </c>
      <c r="O169">
        <v>10</v>
      </c>
      <c r="P169">
        <v>3500</v>
      </c>
      <c r="Q169">
        <v>107.04</v>
      </c>
      <c r="R169" t="s">
        <v>29</v>
      </c>
      <c r="S169" t="s">
        <v>38</v>
      </c>
      <c r="T169">
        <f t="shared" si="10"/>
        <v>3500</v>
      </c>
      <c r="U169" t="str">
        <f t="shared" si="11"/>
        <v>24+ Months</v>
      </c>
    </row>
    <row r="170" spans="1:21">
      <c r="A170" t="s">
        <v>368</v>
      </c>
      <c r="B170" t="s">
        <v>369</v>
      </c>
      <c r="C170" s="2" t="s">
        <v>370</v>
      </c>
      <c r="D170" s="2" t="str">
        <f t="shared" si="8"/>
        <v>John Montoya</v>
      </c>
      <c r="E170">
        <v>40</v>
      </c>
      <c r="F170" s="3" t="str">
        <f t="shared" si="9"/>
        <v>40-49</v>
      </c>
      <c r="G170" t="s">
        <v>56</v>
      </c>
      <c r="H170" t="s">
        <v>35</v>
      </c>
      <c r="I170" t="s">
        <v>36</v>
      </c>
      <c r="J170">
        <v>4</v>
      </c>
      <c r="K170" t="s">
        <v>155</v>
      </c>
      <c r="L170">
        <v>30</v>
      </c>
      <c r="M170" t="s">
        <v>57</v>
      </c>
      <c r="N170">
        <v>4500</v>
      </c>
      <c r="O170">
        <v>2</v>
      </c>
      <c r="P170">
        <v>9000</v>
      </c>
      <c r="Q170">
        <v>174.66</v>
      </c>
      <c r="R170" t="s">
        <v>46</v>
      </c>
      <c r="S170" t="s">
        <v>47</v>
      </c>
      <c r="T170">
        <f t="shared" si="10"/>
        <v>0</v>
      </c>
      <c r="U170" t="str">
        <f t="shared" si="11"/>
        <v>24+ Months</v>
      </c>
    </row>
    <row r="171" spans="1:21">
      <c r="A171" t="s">
        <v>371</v>
      </c>
      <c r="B171" t="s">
        <v>369</v>
      </c>
      <c r="C171" s="2" t="s">
        <v>370</v>
      </c>
      <c r="D171" s="2" t="str">
        <f t="shared" si="8"/>
        <v>John Montoya</v>
      </c>
      <c r="E171">
        <v>40</v>
      </c>
      <c r="F171" s="3" t="str">
        <f t="shared" si="9"/>
        <v>40-49</v>
      </c>
      <c r="G171" t="s">
        <v>56</v>
      </c>
      <c r="H171" t="s">
        <v>51</v>
      </c>
      <c r="I171" t="s">
        <v>36</v>
      </c>
      <c r="J171">
        <v>4</v>
      </c>
      <c r="K171" t="s">
        <v>155</v>
      </c>
      <c r="L171">
        <v>30</v>
      </c>
      <c r="M171" t="s">
        <v>91</v>
      </c>
      <c r="N171">
        <v>14500</v>
      </c>
      <c r="O171">
        <v>18</v>
      </c>
      <c r="P171">
        <v>261000</v>
      </c>
      <c r="Q171">
        <v>174.89</v>
      </c>
      <c r="R171" t="s">
        <v>46</v>
      </c>
      <c r="S171" t="s">
        <v>47</v>
      </c>
      <c r="T171">
        <f t="shared" si="10"/>
        <v>0</v>
      </c>
      <c r="U171" t="str">
        <f t="shared" si="11"/>
        <v>24+ Months</v>
      </c>
    </row>
    <row r="172" spans="1:21">
      <c r="A172" t="s">
        <v>372</v>
      </c>
      <c r="B172" t="s">
        <v>22</v>
      </c>
      <c r="C172" s="2" t="s">
        <v>373</v>
      </c>
      <c r="D172" s="2" t="str">
        <f t="shared" si="8"/>
        <v>Ngozi Fox</v>
      </c>
      <c r="E172">
        <v>31</v>
      </c>
      <c r="F172" s="3" t="str">
        <f t="shared" si="9"/>
        <v>30-39</v>
      </c>
      <c r="G172" t="s">
        <v>136</v>
      </c>
      <c r="H172" t="s">
        <v>25</v>
      </c>
      <c r="I172" t="s">
        <v>26</v>
      </c>
      <c r="J172">
        <v>3</v>
      </c>
      <c r="K172" t="s">
        <v>62</v>
      </c>
      <c r="L172">
        <v>49</v>
      </c>
      <c r="M172" t="s">
        <v>57</v>
      </c>
      <c r="N172">
        <v>4500</v>
      </c>
      <c r="O172">
        <v>12</v>
      </c>
      <c r="P172">
        <v>54000</v>
      </c>
      <c r="Q172">
        <v>163.43</v>
      </c>
      <c r="R172" t="s">
        <v>46</v>
      </c>
      <c r="S172" t="s">
        <v>47</v>
      </c>
      <c r="T172">
        <f t="shared" si="10"/>
        <v>0</v>
      </c>
      <c r="U172" t="str">
        <f t="shared" si="11"/>
        <v>24+ Months</v>
      </c>
    </row>
    <row r="173" spans="1:21">
      <c r="A173" t="s">
        <v>374</v>
      </c>
      <c r="B173" t="s">
        <v>22</v>
      </c>
      <c r="C173" s="2" t="s">
        <v>373</v>
      </c>
      <c r="D173" s="2" t="str">
        <f t="shared" si="8"/>
        <v>Ngozi Fox</v>
      </c>
      <c r="E173">
        <v>31</v>
      </c>
      <c r="F173" s="3" t="str">
        <f t="shared" si="9"/>
        <v>30-39</v>
      </c>
      <c r="G173" t="s">
        <v>136</v>
      </c>
      <c r="H173" t="s">
        <v>35</v>
      </c>
      <c r="I173" t="s">
        <v>26</v>
      </c>
      <c r="J173">
        <v>3</v>
      </c>
      <c r="K173" t="s">
        <v>62</v>
      </c>
      <c r="L173">
        <v>49</v>
      </c>
      <c r="M173" t="s">
        <v>137</v>
      </c>
      <c r="N173">
        <v>900</v>
      </c>
      <c r="O173">
        <v>13</v>
      </c>
      <c r="P173">
        <v>11700</v>
      </c>
      <c r="Q173">
        <v>83.27</v>
      </c>
      <c r="R173" t="s">
        <v>46</v>
      </c>
      <c r="S173" t="s">
        <v>47</v>
      </c>
      <c r="T173">
        <f t="shared" si="10"/>
        <v>0</v>
      </c>
      <c r="U173" t="str">
        <f t="shared" si="11"/>
        <v>24+ Months</v>
      </c>
    </row>
    <row r="174" spans="1:21">
      <c r="A174" t="s">
        <v>375</v>
      </c>
      <c r="B174" t="s">
        <v>22</v>
      </c>
      <c r="C174" s="2" t="s">
        <v>373</v>
      </c>
      <c r="D174" s="2" t="str">
        <f t="shared" si="8"/>
        <v>Ngozi Fox</v>
      </c>
      <c r="E174">
        <v>31</v>
      </c>
      <c r="F174" s="3" t="str">
        <f t="shared" si="9"/>
        <v>30-39</v>
      </c>
      <c r="G174" t="s">
        <v>136</v>
      </c>
      <c r="H174" t="s">
        <v>51</v>
      </c>
      <c r="I174" t="s">
        <v>26</v>
      </c>
      <c r="J174">
        <v>3</v>
      </c>
      <c r="K174" t="s">
        <v>62</v>
      </c>
      <c r="L174">
        <v>49</v>
      </c>
      <c r="M174" t="s">
        <v>78</v>
      </c>
      <c r="N174">
        <v>24000</v>
      </c>
      <c r="O174">
        <v>13</v>
      </c>
      <c r="P174">
        <v>312000</v>
      </c>
      <c r="Q174">
        <v>75.11</v>
      </c>
      <c r="R174" t="s">
        <v>46</v>
      </c>
      <c r="S174" t="s">
        <v>47</v>
      </c>
      <c r="T174">
        <f t="shared" si="10"/>
        <v>0</v>
      </c>
      <c r="U174" t="str">
        <f t="shared" si="11"/>
        <v>24+ Months</v>
      </c>
    </row>
    <row r="175" spans="1:21">
      <c r="A175" t="s">
        <v>376</v>
      </c>
      <c r="B175" t="s">
        <v>219</v>
      </c>
      <c r="C175" s="2" t="s">
        <v>377</v>
      </c>
      <c r="D175" s="2" t="str">
        <f t="shared" si="8"/>
        <v>Chinedu Burke</v>
      </c>
      <c r="E175">
        <v>63</v>
      </c>
      <c r="F175" s="3" t="str">
        <f t="shared" si="9"/>
        <v>60-69</v>
      </c>
      <c r="G175" t="s">
        <v>154</v>
      </c>
      <c r="H175" t="s">
        <v>51</v>
      </c>
      <c r="I175" t="s">
        <v>26</v>
      </c>
      <c r="J175">
        <v>3</v>
      </c>
      <c r="K175" t="s">
        <v>62</v>
      </c>
      <c r="L175">
        <v>21</v>
      </c>
      <c r="M175" t="s">
        <v>82</v>
      </c>
      <c r="N175">
        <v>30000</v>
      </c>
      <c r="O175">
        <v>16</v>
      </c>
      <c r="P175">
        <v>480000</v>
      </c>
      <c r="Q175">
        <v>183.52</v>
      </c>
      <c r="R175" t="s">
        <v>46</v>
      </c>
      <c r="S175" t="s">
        <v>47</v>
      </c>
      <c r="T175">
        <f t="shared" si="10"/>
        <v>0</v>
      </c>
      <c r="U175" t="str">
        <f t="shared" si="11"/>
        <v>13-24 Months</v>
      </c>
    </row>
    <row r="176" spans="1:21" hidden="1">
      <c r="A176" t="s">
        <v>378</v>
      </c>
      <c r="B176" t="s">
        <v>140</v>
      </c>
      <c r="C176" s="2" t="s">
        <v>379</v>
      </c>
      <c r="D176" s="2" t="str">
        <f t="shared" si="8"/>
        <v>Amaka Webb</v>
      </c>
      <c r="E176">
        <v>76</v>
      </c>
      <c r="F176" s="3" t="str">
        <f t="shared" si="9"/>
        <v>70-79</v>
      </c>
      <c r="G176" t="s">
        <v>272</v>
      </c>
      <c r="H176" t="s">
        <v>35</v>
      </c>
      <c r="I176" t="s">
        <v>26</v>
      </c>
      <c r="J176">
        <v>1</v>
      </c>
      <c r="K176" t="s">
        <v>44</v>
      </c>
      <c r="L176">
        <v>58</v>
      </c>
      <c r="M176" t="s">
        <v>108</v>
      </c>
      <c r="N176">
        <v>1000</v>
      </c>
      <c r="O176">
        <v>8</v>
      </c>
      <c r="P176">
        <v>8000</v>
      </c>
      <c r="Q176">
        <v>155.35</v>
      </c>
      <c r="R176" t="s">
        <v>29</v>
      </c>
      <c r="S176" t="s">
        <v>38</v>
      </c>
      <c r="T176">
        <f t="shared" si="10"/>
        <v>8000</v>
      </c>
      <c r="U176" t="str">
        <f t="shared" si="11"/>
        <v>24+ Months</v>
      </c>
    </row>
    <row r="177" spans="1:21" hidden="1">
      <c r="A177" t="s">
        <v>380</v>
      </c>
      <c r="B177" t="s">
        <v>169</v>
      </c>
      <c r="C177" s="2" t="s">
        <v>381</v>
      </c>
      <c r="D177" s="2" t="str">
        <f t="shared" si="8"/>
        <v>Maryam Tucker</v>
      </c>
      <c r="E177">
        <v>31</v>
      </c>
      <c r="F177" s="3" t="str">
        <f t="shared" si="9"/>
        <v>30-39</v>
      </c>
      <c r="G177" t="s">
        <v>61</v>
      </c>
      <c r="H177" t="s">
        <v>51</v>
      </c>
      <c r="I177" t="s">
        <v>26</v>
      </c>
      <c r="J177">
        <v>1</v>
      </c>
      <c r="K177" t="s">
        <v>44</v>
      </c>
      <c r="L177">
        <v>27</v>
      </c>
      <c r="M177" t="s">
        <v>45</v>
      </c>
      <c r="N177">
        <v>20000</v>
      </c>
      <c r="O177">
        <v>1</v>
      </c>
      <c r="P177">
        <v>20000</v>
      </c>
      <c r="Q177">
        <v>58.61</v>
      </c>
      <c r="R177" t="s">
        <v>29</v>
      </c>
      <c r="S177" t="s">
        <v>229</v>
      </c>
      <c r="T177">
        <f t="shared" si="10"/>
        <v>20000</v>
      </c>
      <c r="U177" t="str">
        <f t="shared" si="11"/>
        <v>24+ Months</v>
      </c>
    </row>
    <row r="178" spans="1:21" hidden="1">
      <c r="A178" t="s">
        <v>382</v>
      </c>
      <c r="B178" t="s">
        <v>169</v>
      </c>
      <c r="C178" s="2" t="s">
        <v>381</v>
      </c>
      <c r="D178" s="2" t="str">
        <f t="shared" si="8"/>
        <v>Maryam Tucker</v>
      </c>
      <c r="E178">
        <v>31</v>
      </c>
      <c r="F178" s="3" t="str">
        <f t="shared" si="9"/>
        <v>30-39</v>
      </c>
      <c r="G178" t="s">
        <v>61</v>
      </c>
      <c r="H178" t="s">
        <v>43</v>
      </c>
      <c r="I178" t="s">
        <v>26</v>
      </c>
      <c r="J178">
        <v>1</v>
      </c>
      <c r="K178" t="s">
        <v>44</v>
      </c>
      <c r="L178">
        <v>27</v>
      </c>
      <c r="M178" t="s">
        <v>156</v>
      </c>
      <c r="N178">
        <v>25000</v>
      </c>
      <c r="O178">
        <v>14</v>
      </c>
      <c r="P178">
        <v>350000</v>
      </c>
      <c r="Q178">
        <v>48.49</v>
      </c>
      <c r="R178" t="s">
        <v>29</v>
      </c>
      <c r="S178" t="s">
        <v>229</v>
      </c>
      <c r="T178">
        <f t="shared" si="10"/>
        <v>350000</v>
      </c>
      <c r="U178" t="str">
        <f t="shared" si="11"/>
        <v>24+ Months</v>
      </c>
    </row>
    <row r="179" spans="1:21" hidden="1">
      <c r="A179" t="s">
        <v>383</v>
      </c>
      <c r="B179" t="s">
        <v>169</v>
      </c>
      <c r="C179" s="2" t="s">
        <v>381</v>
      </c>
      <c r="D179" s="2" t="str">
        <f t="shared" si="8"/>
        <v>Maryam Tucker</v>
      </c>
      <c r="E179">
        <v>31</v>
      </c>
      <c r="F179" s="3" t="str">
        <f t="shared" si="9"/>
        <v>30-39</v>
      </c>
      <c r="G179" t="s">
        <v>61</v>
      </c>
      <c r="H179" t="s">
        <v>35</v>
      </c>
      <c r="I179" t="s">
        <v>26</v>
      </c>
      <c r="J179">
        <v>1</v>
      </c>
      <c r="K179" t="s">
        <v>44</v>
      </c>
      <c r="L179">
        <v>27</v>
      </c>
      <c r="M179" t="s">
        <v>227</v>
      </c>
      <c r="N179">
        <v>600</v>
      </c>
      <c r="O179">
        <v>3</v>
      </c>
      <c r="P179">
        <v>1800</v>
      </c>
      <c r="Q179">
        <v>133.04</v>
      </c>
      <c r="R179" t="s">
        <v>29</v>
      </c>
      <c r="S179" t="s">
        <v>229</v>
      </c>
      <c r="T179">
        <f t="shared" si="10"/>
        <v>1800</v>
      </c>
      <c r="U179" t="str">
        <f t="shared" si="11"/>
        <v>24+ Months</v>
      </c>
    </row>
    <row r="180" spans="1:21">
      <c r="A180" t="s">
        <v>384</v>
      </c>
      <c r="B180" t="s">
        <v>385</v>
      </c>
      <c r="C180" s="2" t="s">
        <v>386</v>
      </c>
      <c r="D180" s="2" t="str">
        <f t="shared" si="8"/>
        <v>Sarah James</v>
      </c>
      <c r="E180">
        <v>62</v>
      </c>
      <c r="F180" s="3" t="str">
        <f t="shared" si="9"/>
        <v>60-69</v>
      </c>
      <c r="G180" t="s">
        <v>201</v>
      </c>
      <c r="H180" t="s">
        <v>43</v>
      </c>
      <c r="I180" t="s">
        <v>26</v>
      </c>
      <c r="J180">
        <v>1</v>
      </c>
      <c r="K180" t="s">
        <v>44</v>
      </c>
      <c r="L180">
        <v>25</v>
      </c>
      <c r="M180" t="s">
        <v>52</v>
      </c>
      <c r="N180">
        <v>9000</v>
      </c>
      <c r="O180">
        <v>3</v>
      </c>
      <c r="P180">
        <v>27000</v>
      </c>
      <c r="Q180">
        <v>71.739999999999995</v>
      </c>
      <c r="R180" t="s">
        <v>46</v>
      </c>
      <c r="S180" t="s">
        <v>47</v>
      </c>
      <c r="T180">
        <f t="shared" si="10"/>
        <v>0</v>
      </c>
      <c r="U180" t="str">
        <f t="shared" si="11"/>
        <v>24+ Months</v>
      </c>
    </row>
    <row r="181" spans="1:21">
      <c r="A181" t="s">
        <v>387</v>
      </c>
      <c r="B181" t="s">
        <v>385</v>
      </c>
      <c r="C181" s="2" t="s">
        <v>386</v>
      </c>
      <c r="D181" s="2" t="str">
        <f t="shared" si="8"/>
        <v>Sarah James</v>
      </c>
      <c r="E181">
        <v>62</v>
      </c>
      <c r="F181" s="3" t="str">
        <f t="shared" si="9"/>
        <v>60-69</v>
      </c>
      <c r="G181" t="s">
        <v>201</v>
      </c>
      <c r="H181" t="s">
        <v>35</v>
      </c>
      <c r="I181" t="s">
        <v>26</v>
      </c>
      <c r="J181">
        <v>1</v>
      </c>
      <c r="K181" t="s">
        <v>44</v>
      </c>
      <c r="L181">
        <v>25</v>
      </c>
      <c r="M181" t="s">
        <v>69</v>
      </c>
      <c r="N181">
        <v>3500</v>
      </c>
      <c r="O181">
        <v>4</v>
      </c>
      <c r="P181">
        <v>14000</v>
      </c>
      <c r="Q181">
        <v>48.6</v>
      </c>
      <c r="R181" t="s">
        <v>46</v>
      </c>
      <c r="S181" t="s">
        <v>47</v>
      </c>
      <c r="T181">
        <f t="shared" si="10"/>
        <v>0</v>
      </c>
      <c r="U181" t="str">
        <f t="shared" si="11"/>
        <v>24+ Months</v>
      </c>
    </row>
    <row r="182" spans="1:21">
      <c r="A182" t="s">
        <v>388</v>
      </c>
      <c r="B182" t="s">
        <v>249</v>
      </c>
      <c r="C182" s="2" t="s">
        <v>352</v>
      </c>
      <c r="D182" s="2" t="str">
        <f t="shared" si="8"/>
        <v>Tega Turner</v>
      </c>
      <c r="E182">
        <v>33</v>
      </c>
      <c r="F182" s="3" t="str">
        <f t="shared" si="9"/>
        <v>30-39</v>
      </c>
      <c r="G182" t="s">
        <v>175</v>
      </c>
      <c r="H182" t="s">
        <v>35</v>
      </c>
      <c r="I182" t="s">
        <v>36</v>
      </c>
      <c r="J182">
        <v>2</v>
      </c>
      <c r="K182" t="s">
        <v>27</v>
      </c>
      <c r="L182">
        <v>35</v>
      </c>
      <c r="M182" t="s">
        <v>227</v>
      </c>
      <c r="N182">
        <v>600</v>
      </c>
      <c r="O182">
        <v>3</v>
      </c>
      <c r="P182">
        <v>1800</v>
      </c>
      <c r="Q182">
        <v>162.38999999999999</v>
      </c>
      <c r="R182" t="s">
        <v>46</v>
      </c>
      <c r="S182" t="s">
        <v>47</v>
      </c>
      <c r="T182">
        <f t="shared" si="10"/>
        <v>0</v>
      </c>
      <c r="U182" t="str">
        <f t="shared" si="11"/>
        <v>24+ Months</v>
      </c>
    </row>
    <row r="183" spans="1:21">
      <c r="A183" t="s">
        <v>389</v>
      </c>
      <c r="B183" t="s">
        <v>249</v>
      </c>
      <c r="C183" s="2" t="s">
        <v>352</v>
      </c>
      <c r="D183" s="2" t="str">
        <f t="shared" si="8"/>
        <v>Tega Turner</v>
      </c>
      <c r="E183">
        <v>33</v>
      </c>
      <c r="F183" s="3" t="str">
        <f t="shared" si="9"/>
        <v>30-39</v>
      </c>
      <c r="G183" t="s">
        <v>175</v>
      </c>
      <c r="H183" t="s">
        <v>43</v>
      </c>
      <c r="I183" t="s">
        <v>36</v>
      </c>
      <c r="J183">
        <v>2</v>
      </c>
      <c r="K183" t="s">
        <v>27</v>
      </c>
      <c r="L183">
        <v>35</v>
      </c>
      <c r="M183" t="s">
        <v>71</v>
      </c>
      <c r="N183">
        <v>150000</v>
      </c>
      <c r="O183">
        <v>7</v>
      </c>
      <c r="P183">
        <v>1050000</v>
      </c>
      <c r="Q183">
        <v>7.88</v>
      </c>
      <c r="R183" t="s">
        <v>46</v>
      </c>
      <c r="S183" t="s">
        <v>47</v>
      </c>
      <c r="T183">
        <f t="shared" si="10"/>
        <v>0</v>
      </c>
      <c r="U183" t="str">
        <f t="shared" si="11"/>
        <v>24+ Months</v>
      </c>
    </row>
    <row r="184" spans="1:21">
      <c r="A184" t="s">
        <v>390</v>
      </c>
      <c r="B184" t="s">
        <v>249</v>
      </c>
      <c r="C184" s="2" t="s">
        <v>352</v>
      </c>
      <c r="D184" s="2" t="str">
        <f t="shared" si="8"/>
        <v>Tega Turner</v>
      </c>
      <c r="E184">
        <v>33</v>
      </c>
      <c r="F184" s="3" t="str">
        <f t="shared" si="9"/>
        <v>30-39</v>
      </c>
      <c r="G184" t="s">
        <v>175</v>
      </c>
      <c r="H184" t="s">
        <v>25</v>
      </c>
      <c r="I184" t="s">
        <v>36</v>
      </c>
      <c r="J184">
        <v>2</v>
      </c>
      <c r="K184" t="s">
        <v>27</v>
      </c>
      <c r="L184">
        <v>35</v>
      </c>
      <c r="M184" t="s">
        <v>73</v>
      </c>
      <c r="N184">
        <v>16000</v>
      </c>
      <c r="O184">
        <v>2</v>
      </c>
      <c r="P184">
        <v>32000</v>
      </c>
      <c r="Q184">
        <v>158.33000000000001</v>
      </c>
      <c r="R184" t="s">
        <v>46</v>
      </c>
      <c r="S184" t="s">
        <v>47</v>
      </c>
      <c r="T184">
        <f t="shared" si="10"/>
        <v>0</v>
      </c>
      <c r="U184" t="str">
        <f t="shared" si="11"/>
        <v>24+ Months</v>
      </c>
    </row>
    <row r="185" spans="1:21" hidden="1">
      <c r="A185" t="s">
        <v>391</v>
      </c>
      <c r="B185" t="s">
        <v>166</v>
      </c>
      <c r="C185" s="2" t="s">
        <v>392</v>
      </c>
      <c r="D185" s="2" t="str">
        <f t="shared" si="8"/>
        <v>Ese Perez</v>
      </c>
      <c r="E185">
        <v>55</v>
      </c>
      <c r="F185" s="3" t="str">
        <f t="shared" si="9"/>
        <v>50-59</v>
      </c>
      <c r="G185" t="s">
        <v>260</v>
      </c>
      <c r="H185" t="s">
        <v>43</v>
      </c>
      <c r="I185" t="s">
        <v>36</v>
      </c>
      <c r="J185">
        <v>3</v>
      </c>
      <c r="K185" t="s">
        <v>62</v>
      </c>
      <c r="L185">
        <v>53</v>
      </c>
      <c r="M185" t="s">
        <v>156</v>
      </c>
      <c r="N185">
        <v>25000</v>
      </c>
      <c r="O185">
        <v>2</v>
      </c>
      <c r="P185">
        <v>50000</v>
      </c>
      <c r="Q185">
        <v>172.5</v>
      </c>
      <c r="R185" t="s">
        <v>29</v>
      </c>
      <c r="S185" t="s">
        <v>393</v>
      </c>
      <c r="T185">
        <f t="shared" si="10"/>
        <v>50000</v>
      </c>
      <c r="U185" t="str">
        <f t="shared" si="11"/>
        <v>24+ Months</v>
      </c>
    </row>
    <row r="186" spans="1:21">
      <c r="A186" t="s">
        <v>394</v>
      </c>
      <c r="B186" t="s">
        <v>249</v>
      </c>
      <c r="C186" s="2" t="s">
        <v>395</v>
      </c>
      <c r="D186" s="2" t="str">
        <f t="shared" si="8"/>
        <v>Tega Murray</v>
      </c>
      <c r="E186">
        <v>50</v>
      </c>
      <c r="F186" s="3" t="str">
        <f t="shared" si="9"/>
        <v>50-59</v>
      </c>
      <c r="G186" t="s">
        <v>240</v>
      </c>
      <c r="H186" t="s">
        <v>43</v>
      </c>
      <c r="I186" t="s">
        <v>36</v>
      </c>
      <c r="J186">
        <v>4</v>
      </c>
      <c r="K186" t="s">
        <v>155</v>
      </c>
      <c r="L186">
        <v>28</v>
      </c>
      <c r="M186" t="s">
        <v>71</v>
      </c>
      <c r="N186">
        <v>150000</v>
      </c>
      <c r="O186">
        <v>12</v>
      </c>
      <c r="P186">
        <v>1800000</v>
      </c>
      <c r="Q186">
        <v>138.57</v>
      </c>
      <c r="R186" t="s">
        <v>46</v>
      </c>
      <c r="S186" t="s">
        <v>47</v>
      </c>
      <c r="T186">
        <f t="shared" si="10"/>
        <v>0</v>
      </c>
      <c r="U186" t="str">
        <f t="shared" si="11"/>
        <v>24+ Months</v>
      </c>
    </row>
    <row r="187" spans="1:21">
      <c r="A187" t="s">
        <v>396</v>
      </c>
      <c r="B187" t="s">
        <v>249</v>
      </c>
      <c r="C187" s="2" t="s">
        <v>395</v>
      </c>
      <c r="D187" s="2" t="str">
        <f t="shared" si="8"/>
        <v>Tega Murray</v>
      </c>
      <c r="E187">
        <v>50</v>
      </c>
      <c r="F187" s="3" t="str">
        <f t="shared" si="9"/>
        <v>50-59</v>
      </c>
      <c r="G187" t="s">
        <v>240</v>
      </c>
      <c r="H187" t="s">
        <v>51</v>
      </c>
      <c r="I187" t="s">
        <v>36</v>
      </c>
      <c r="J187">
        <v>4</v>
      </c>
      <c r="K187" t="s">
        <v>155</v>
      </c>
      <c r="L187">
        <v>28</v>
      </c>
      <c r="M187" t="s">
        <v>78</v>
      </c>
      <c r="N187">
        <v>24000</v>
      </c>
      <c r="O187">
        <v>3</v>
      </c>
      <c r="P187">
        <v>72000</v>
      </c>
      <c r="Q187">
        <v>53.71</v>
      </c>
      <c r="R187" t="s">
        <v>46</v>
      </c>
      <c r="S187" t="s">
        <v>47</v>
      </c>
      <c r="T187">
        <f t="shared" si="10"/>
        <v>0</v>
      </c>
      <c r="U187" t="str">
        <f t="shared" si="11"/>
        <v>24+ Months</v>
      </c>
    </row>
    <row r="188" spans="1:21" hidden="1">
      <c r="A188" t="s">
        <v>397</v>
      </c>
      <c r="B188" t="s">
        <v>75</v>
      </c>
      <c r="C188" s="2" t="s">
        <v>398</v>
      </c>
      <c r="D188" s="2" t="str">
        <f t="shared" si="8"/>
        <v>Boma Gonzalez</v>
      </c>
      <c r="E188">
        <v>26</v>
      </c>
      <c r="F188" s="3" t="str">
        <f t="shared" si="9"/>
        <v>20-29</v>
      </c>
      <c r="G188" t="s">
        <v>24</v>
      </c>
      <c r="H188" t="s">
        <v>43</v>
      </c>
      <c r="I188" t="s">
        <v>26</v>
      </c>
      <c r="J188">
        <v>3</v>
      </c>
      <c r="K188" t="s">
        <v>62</v>
      </c>
      <c r="L188">
        <v>35</v>
      </c>
      <c r="M188" t="s">
        <v>143</v>
      </c>
      <c r="N188">
        <v>75000</v>
      </c>
      <c r="O188">
        <v>15</v>
      </c>
      <c r="P188">
        <v>1125000</v>
      </c>
      <c r="Q188">
        <v>33.75</v>
      </c>
      <c r="R188" t="s">
        <v>29</v>
      </c>
      <c r="S188" t="s">
        <v>129</v>
      </c>
      <c r="T188">
        <f t="shared" si="10"/>
        <v>1125000</v>
      </c>
      <c r="U188" t="str">
        <f t="shared" si="11"/>
        <v>24+ Months</v>
      </c>
    </row>
    <row r="189" spans="1:21" hidden="1">
      <c r="A189" t="s">
        <v>399</v>
      </c>
      <c r="B189" t="s">
        <v>75</v>
      </c>
      <c r="C189" s="2" t="s">
        <v>398</v>
      </c>
      <c r="D189" s="2" t="str">
        <f t="shared" si="8"/>
        <v>Boma Gonzalez</v>
      </c>
      <c r="E189">
        <v>26</v>
      </c>
      <c r="F189" s="3" t="str">
        <f t="shared" si="9"/>
        <v>20-29</v>
      </c>
      <c r="G189" t="s">
        <v>24</v>
      </c>
      <c r="H189" t="s">
        <v>25</v>
      </c>
      <c r="I189" t="s">
        <v>26</v>
      </c>
      <c r="J189">
        <v>3</v>
      </c>
      <c r="K189" t="s">
        <v>62</v>
      </c>
      <c r="L189">
        <v>35</v>
      </c>
      <c r="M189" t="s">
        <v>63</v>
      </c>
      <c r="N189">
        <v>9000</v>
      </c>
      <c r="O189">
        <v>12</v>
      </c>
      <c r="P189">
        <v>108000</v>
      </c>
      <c r="Q189">
        <v>89.7</v>
      </c>
      <c r="R189" t="s">
        <v>29</v>
      </c>
      <c r="S189" t="s">
        <v>129</v>
      </c>
      <c r="T189">
        <f t="shared" si="10"/>
        <v>108000</v>
      </c>
      <c r="U189" t="str">
        <f t="shared" si="11"/>
        <v>24+ Months</v>
      </c>
    </row>
    <row r="190" spans="1:21" hidden="1">
      <c r="A190" t="s">
        <v>400</v>
      </c>
      <c r="B190" t="s">
        <v>75</v>
      </c>
      <c r="C190" s="2" t="s">
        <v>398</v>
      </c>
      <c r="D190" s="2" t="str">
        <f t="shared" si="8"/>
        <v>Boma Gonzalez</v>
      </c>
      <c r="E190">
        <v>26</v>
      </c>
      <c r="F190" s="3" t="str">
        <f t="shared" si="9"/>
        <v>20-29</v>
      </c>
      <c r="G190" t="s">
        <v>24</v>
      </c>
      <c r="H190" t="s">
        <v>35</v>
      </c>
      <c r="I190" t="s">
        <v>26</v>
      </c>
      <c r="J190">
        <v>3</v>
      </c>
      <c r="K190" t="s">
        <v>62</v>
      </c>
      <c r="L190">
        <v>35</v>
      </c>
      <c r="M190" t="s">
        <v>113</v>
      </c>
      <c r="N190">
        <v>7500</v>
      </c>
      <c r="O190">
        <v>2</v>
      </c>
      <c r="P190">
        <v>15000</v>
      </c>
      <c r="Q190">
        <v>55.27</v>
      </c>
      <c r="R190" t="s">
        <v>29</v>
      </c>
      <c r="S190" t="s">
        <v>129</v>
      </c>
      <c r="T190">
        <f t="shared" si="10"/>
        <v>15000</v>
      </c>
      <c r="U190" t="str">
        <f t="shared" si="11"/>
        <v>24+ Months</v>
      </c>
    </row>
    <row r="191" spans="1:21">
      <c r="A191" t="s">
        <v>401</v>
      </c>
      <c r="B191" t="s">
        <v>121</v>
      </c>
      <c r="C191" s="2" t="s">
        <v>183</v>
      </c>
      <c r="D191" s="2" t="str">
        <f t="shared" si="8"/>
        <v>Kunle Davis</v>
      </c>
      <c r="E191">
        <v>67</v>
      </c>
      <c r="F191" s="3" t="str">
        <f t="shared" si="9"/>
        <v>60-69</v>
      </c>
      <c r="G191" t="s">
        <v>56</v>
      </c>
      <c r="H191" t="s">
        <v>51</v>
      </c>
      <c r="I191" t="s">
        <v>26</v>
      </c>
      <c r="J191">
        <v>5</v>
      </c>
      <c r="K191" t="s">
        <v>68</v>
      </c>
      <c r="L191">
        <v>2</v>
      </c>
      <c r="M191" t="s">
        <v>52</v>
      </c>
      <c r="N191">
        <v>9000</v>
      </c>
      <c r="O191">
        <v>12</v>
      </c>
      <c r="P191">
        <v>108000</v>
      </c>
      <c r="Q191">
        <v>47.58</v>
      </c>
      <c r="R191" t="s">
        <v>46</v>
      </c>
      <c r="S191" t="s">
        <v>47</v>
      </c>
      <c r="T191">
        <f t="shared" si="10"/>
        <v>0</v>
      </c>
      <c r="U191" t="str">
        <f t="shared" si="11"/>
        <v>0-6 Months</v>
      </c>
    </row>
    <row r="192" spans="1:21">
      <c r="A192" t="s">
        <v>402</v>
      </c>
      <c r="B192" t="s">
        <v>121</v>
      </c>
      <c r="C192" s="2" t="s">
        <v>183</v>
      </c>
      <c r="D192" s="2" t="str">
        <f t="shared" si="8"/>
        <v>Kunle Davis</v>
      </c>
      <c r="E192">
        <v>67</v>
      </c>
      <c r="F192" s="3" t="str">
        <f t="shared" si="9"/>
        <v>60-69</v>
      </c>
      <c r="G192" t="s">
        <v>56</v>
      </c>
      <c r="H192" t="s">
        <v>35</v>
      </c>
      <c r="I192" t="s">
        <v>26</v>
      </c>
      <c r="J192">
        <v>5</v>
      </c>
      <c r="K192" t="s">
        <v>68</v>
      </c>
      <c r="L192">
        <v>2</v>
      </c>
      <c r="M192" t="s">
        <v>69</v>
      </c>
      <c r="N192">
        <v>3500</v>
      </c>
      <c r="O192">
        <v>19</v>
      </c>
      <c r="P192">
        <v>66500</v>
      </c>
      <c r="Q192">
        <v>76.88</v>
      </c>
      <c r="R192" t="s">
        <v>46</v>
      </c>
      <c r="S192" t="s">
        <v>47</v>
      </c>
      <c r="T192">
        <f t="shared" si="10"/>
        <v>0</v>
      </c>
      <c r="U192" t="str">
        <f t="shared" si="11"/>
        <v>0-6 Months</v>
      </c>
    </row>
    <row r="193" spans="1:21">
      <c r="A193" t="s">
        <v>403</v>
      </c>
      <c r="B193" t="s">
        <v>404</v>
      </c>
      <c r="C193" s="2" t="s">
        <v>147</v>
      </c>
      <c r="D193" s="2" t="str">
        <f t="shared" si="8"/>
        <v>Bola Brown</v>
      </c>
      <c r="E193">
        <v>35</v>
      </c>
      <c r="F193" s="3" t="str">
        <f t="shared" si="9"/>
        <v>30-39</v>
      </c>
      <c r="G193" t="s">
        <v>272</v>
      </c>
      <c r="H193" t="s">
        <v>43</v>
      </c>
      <c r="I193" t="s">
        <v>36</v>
      </c>
      <c r="J193">
        <v>1</v>
      </c>
      <c r="K193" t="s">
        <v>44</v>
      </c>
      <c r="L193">
        <v>24</v>
      </c>
      <c r="M193" t="s">
        <v>78</v>
      </c>
      <c r="N193">
        <v>24000</v>
      </c>
      <c r="O193">
        <v>4</v>
      </c>
      <c r="P193">
        <v>96000</v>
      </c>
      <c r="Q193">
        <v>50.3</v>
      </c>
      <c r="R193" t="s">
        <v>46</v>
      </c>
      <c r="S193" t="s">
        <v>47</v>
      </c>
      <c r="T193">
        <f t="shared" si="10"/>
        <v>0</v>
      </c>
      <c r="U193" t="str">
        <f t="shared" si="11"/>
        <v>13-24 Months</v>
      </c>
    </row>
    <row r="194" spans="1:21">
      <c r="A194" t="s">
        <v>405</v>
      </c>
      <c r="B194" t="s">
        <v>404</v>
      </c>
      <c r="C194" s="2" t="s">
        <v>147</v>
      </c>
      <c r="D194" s="2" t="str">
        <f t="shared" si="8"/>
        <v>Bola Brown</v>
      </c>
      <c r="E194">
        <v>35</v>
      </c>
      <c r="F194" s="3" t="str">
        <f t="shared" si="9"/>
        <v>30-39</v>
      </c>
      <c r="G194" t="s">
        <v>272</v>
      </c>
      <c r="H194" t="s">
        <v>35</v>
      </c>
      <c r="I194" t="s">
        <v>36</v>
      </c>
      <c r="J194">
        <v>1</v>
      </c>
      <c r="K194" t="s">
        <v>44</v>
      </c>
      <c r="L194">
        <v>24</v>
      </c>
      <c r="M194" t="s">
        <v>73</v>
      </c>
      <c r="N194">
        <v>16000</v>
      </c>
      <c r="O194">
        <v>16</v>
      </c>
      <c r="P194">
        <v>256000</v>
      </c>
      <c r="Q194">
        <v>147.27000000000001</v>
      </c>
      <c r="R194" t="s">
        <v>46</v>
      </c>
      <c r="S194" t="s">
        <v>47</v>
      </c>
      <c r="T194">
        <f t="shared" si="10"/>
        <v>0</v>
      </c>
      <c r="U194" t="str">
        <f t="shared" si="11"/>
        <v>13-24 Months</v>
      </c>
    </row>
    <row r="195" spans="1:21">
      <c r="A195" t="s">
        <v>406</v>
      </c>
      <c r="B195" t="s">
        <v>404</v>
      </c>
      <c r="C195" s="2" t="s">
        <v>147</v>
      </c>
      <c r="D195" s="2" t="str">
        <f t="shared" ref="D195:D258" si="12">B195&amp;" "&amp;C195</f>
        <v>Bola Brown</v>
      </c>
      <c r="E195">
        <v>35</v>
      </c>
      <c r="F195" s="3" t="str">
        <f t="shared" ref="F195:F258" si="13">FLOOR(E195, 10)&amp;"-"&amp;FLOOR(E195, 10)+9</f>
        <v>30-39</v>
      </c>
      <c r="G195" t="s">
        <v>272</v>
      </c>
      <c r="H195" t="s">
        <v>35</v>
      </c>
      <c r="I195" t="s">
        <v>36</v>
      </c>
      <c r="J195">
        <v>1</v>
      </c>
      <c r="K195" t="s">
        <v>44</v>
      </c>
      <c r="L195">
        <v>24</v>
      </c>
      <c r="M195" t="s">
        <v>264</v>
      </c>
      <c r="N195">
        <v>6500</v>
      </c>
      <c r="O195">
        <v>18</v>
      </c>
      <c r="P195">
        <v>117000</v>
      </c>
      <c r="Q195">
        <v>77.7</v>
      </c>
      <c r="R195" t="s">
        <v>46</v>
      </c>
      <c r="S195" t="s">
        <v>47</v>
      </c>
      <c r="T195">
        <f t="shared" ref="T195:T258" si="14">IF(R195="Yes",P195,0)</f>
        <v>0</v>
      </c>
      <c r="U195" t="str">
        <f t="shared" ref="U195:U258" si="15">IF(L195&lt;=6,"0-6 Months",
IF(L195&lt;=12,"7-12 Months",
IF(L195&lt;=24,"13-24 Months","24+ Months")))</f>
        <v>13-24 Months</v>
      </c>
    </row>
    <row r="196" spans="1:21" hidden="1">
      <c r="A196" t="s">
        <v>407</v>
      </c>
      <c r="B196" t="s">
        <v>80</v>
      </c>
      <c r="C196" s="2" t="s">
        <v>408</v>
      </c>
      <c r="D196" s="2" t="str">
        <f t="shared" si="12"/>
        <v>Ifeanyi Burns</v>
      </c>
      <c r="E196">
        <v>49</v>
      </c>
      <c r="F196" s="3" t="str">
        <f t="shared" si="13"/>
        <v>40-49</v>
      </c>
      <c r="G196" t="s">
        <v>197</v>
      </c>
      <c r="H196" t="s">
        <v>35</v>
      </c>
      <c r="I196" t="s">
        <v>36</v>
      </c>
      <c r="J196">
        <v>4</v>
      </c>
      <c r="K196" t="s">
        <v>155</v>
      </c>
      <c r="L196">
        <v>14</v>
      </c>
      <c r="M196" t="s">
        <v>227</v>
      </c>
      <c r="N196">
        <v>600</v>
      </c>
      <c r="O196">
        <v>15</v>
      </c>
      <c r="P196">
        <v>9000</v>
      </c>
      <c r="Q196">
        <v>179.79</v>
      </c>
      <c r="R196" t="s">
        <v>29</v>
      </c>
      <c r="S196" t="s">
        <v>362</v>
      </c>
      <c r="T196">
        <f t="shared" si="14"/>
        <v>9000</v>
      </c>
      <c r="U196" t="str">
        <f t="shared" si="15"/>
        <v>13-24 Months</v>
      </c>
    </row>
    <row r="197" spans="1:21">
      <c r="A197" t="s">
        <v>409</v>
      </c>
      <c r="B197" t="s">
        <v>219</v>
      </c>
      <c r="C197" s="2" t="s">
        <v>410</v>
      </c>
      <c r="D197" s="2" t="str">
        <f t="shared" si="12"/>
        <v>Chinedu Barrera</v>
      </c>
      <c r="E197">
        <v>56</v>
      </c>
      <c r="F197" s="3" t="str">
        <f t="shared" si="13"/>
        <v>50-59</v>
      </c>
      <c r="G197" t="s">
        <v>210</v>
      </c>
      <c r="H197" t="s">
        <v>25</v>
      </c>
      <c r="I197" t="s">
        <v>26</v>
      </c>
      <c r="J197">
        <v>3</v>
      </c>
      <c r="K197" t="s">
        <v>62</v>
      </c>
      <c r="L197">
        <v>36</v>
      </c>
      <c r="M197" t="s">
        <v>73</v>
      </c>
      <c r="N197">
        <v>16000</v>
      </c>
      <c r="O197">
        <v>5</v>
      </c>
      <c r="P197">
        <v>80000</v>
      </c>
      <c r="Q197">
        <v>197.03</v>
      </c>
      <c r="R197" t="s">
        <v>46</v>
      </c>
      <c r="S197" t="s">
        <v>47</v>
      </c>
      <c r="T197">
        <f t="shared" si="14"/>
        <v>0</v>
      </c>
      <c r="U197" t="str">
        <f t="shared" si="15"/>
        <v>24+ Months</v>
      </c>
    </row>
    <row r="198" spans="1:21">
      <c r="A198" t="s">
        <v>411</v>
      </c>
      <c r="B198" t="s">
        <v>219</v>
      </c>
      <c r="C198" s="2" t="s">
        <v>410</v>
      </c>
      <c r="D198" s="2" t="str">
        <f t="shared" si="12"/>
        <v>Chinedu Barrera</v>
      </c>
      <c r="E198">
        <v>56</v>
      </c>
      <c r="F198" s="3" t="str">
        <f t="shared" si="13"/>
        <v>50-59</v>
      </c>
      <c r="G198" t="s">
        <v>210</v>
      </c>
      <c r="H198" t="s">
        <v>35</v>
      </c>
      <c r="I198" t="s">
        <v>26</v>
      </c>
      <c r="J198">
        <v>3</v>
      </c>
      <c r="K198" t="s">
        <v>62</v>
      </c>
      <c r="L198">
        <v>36</v>
      </c>
      <c r="M198" t="s">
        <v>93</v>
      </c>
      <c r="N198">
        <v>350</v>
      </c>
      <c r="O198">
        <v>1</v>
      </c>
      <c r="P198">
        <v>350</v>
      </c>
      <c r="Q198">
        <v>158.18</v>
      </c>
      <c r="R198" t="s">
        <v>46</v>
      </c>
      <c r="S198" t="s">
        <v>47</v>
      </c>
      <c r="T198">
        <f t="shared" si="14"/>
        <v>0</v>
      </c>
      <c r="U198" t="str">
        <f t="shared" si="15"/>
        <v>24+ Months</v>
      </c>
    </row>
    <row r="199" spans="1:21">
      <c r="A199" t="s">
        <v>412</v>
      </c>
      <c r="B199" t="s">
        <v>219</v>
      </c>
      <c r="C199" s="2" t="s">
        <v>410</v>
      </c>
      <c r="D199" s="2" t="str">
        <f t="shared" si="12"/>
        <v>Chinedu Barrera</v>
      </c>
      <c r="E199">
        <v>56</v>
      </c>
      <c r="F199" s="3" t="str">
        <f t="shared" si="13"/>
        <v>50-59</v>
      </c>
      <c r="G199" t="s">
        <v>210</v>
      </c>
      <c r="H199" t="s">
        <v>51</v>
      </c>
      <c r="I199" t="s">
        <v>26</v>
      </c>
      <c r="J199">
        <v>3</v>
      </c>
      <c r="K199" t="s">
        <v>62</v>
      </c>
      <c r="L199">
        <v>36</v>
      </c>
      <c r="M199" t="s">
        <v>82</v>
      </c>
      <c r="N199">
        <v>30000</v>
      </c>
      <c r="O199">
        <v>12</v>
      </c>
      <c r="P199">
        <v>360000</v>
      </c>
      <c r="Q199">
        <v>111.03</v>
      </c>
      <c r="R199" t="s">
        <v>46</v>
      </c>
      <c r="S199" t="s">
        <v>47</v>
      </c>
      <c r="T199">
        <f t="shared" si="14"/>
        <v>0</v>
      </c>
      <c r="U199" t="str">
        <f t="shared" si="15"/>
        <v>24+ Months</v>
      </c>
    </row>
    <row r="200" spans="1:21">
      <c r="A200" t="s">
        <v>413</v>
      </c>
      <c r="B200" t="s">
        <v>214</v>
      </c>
      <c r="C200" s="2" t="s">
        <v>414</v>
      </c>
      <c r="D200" s="2" t="str">
        <f t="shared" si="12"/>
        <v>Zina Fischer</v>
      </c>
      <c r="E200">
        <v>32</v>
      </c>
      <c r="F200" s="3" t="str">
        <f t="shared" si="13"/>
        <v>30-39</v>
      </c>
      <c r="G200" t="s">
        <v>415</v>
      </c>
      <c r="H200" t="s">
        <v>51</v>
      </c>
      <c r="I200" t="s">
        <v>26</v>
      </c>
      <c r="J200">
        <v>4</v>
      </c>
      <c r="K200" t="s">
        <v>155</v>
      </c>
      <c r="L200">
        <v>20</v>
      </c>
      <c r="M200" t="s">
        <v>82</v>
      </c>
      <c r="N200">
        <v>30000</v>
      </c>
      <c r="O200">
        <v>15</v>
      </c>
      <c r="P200">
        <v>450000</v>
      </c>
      <c r="Q200">
        <v>128.65</v>
      </c>
      <c r="R200" t="s">
        <v>46</v>
      </c>
      <c r="S200" t="s">
        <v>47</v>
      </c>
      <c r="T200">
        <f t="shared" si="14"/>
        <v>0</v>
      </c>
      <c r="U200" t="str">
        <f t="shared" si="15"/>
        <v>13-24 Months</v>
      </c>
    </row>
    <row r="201" spans="1:21">
      <c r="A201" t="s">
        <v>416</v>
      </c>
      <c r="B201" t="s">
        <v>214</v>
      </c>
      <c r="C201" s="2" t="s">
        <v>414</v>
      </c>
      <c r="D201" s="2" t="str">
        <f t="shared" si="12"/>
        <v>Zina Fischer</v>
      </c>
      <c r="E201">
        <v>32</v>
      </c>
      <c r="F201" s="3" t="str">
        <f t="shared" si="13"/>
        <v>30-39</v>
      </c>
      <c r="G201" t="s">
        <v>415</v>
      </c>
      <c r="H201" t="s">
        <v>35</v>
      </c>
      <c r="I201" t="s">
        <v>26</v>
      </c>
      <c r="J201">
        <v>4</v>
      </c>
      <c r="K201" t="s">
        <v>155</v>
      </c>
      <c r="L201">
        <v>20</v>
      </c>
      <c r="M201" t="s">
        <v>37</v>
      </c>
      <c r="N201">
        <v>5500</v>
      </c>
      <c r="O201">
        <v>12</v>
      </c>
      <c r="P201">
        <v>66000</v>
      </c>
      <c r="Q201">
        <v>136.18</v>
      </c>
      <c r="R201" t="s">
        <v>46</v>
      </c>
      <c r="S201" t="s">
        <v>47</v>
      </c>
      <c r="T201">
        <f t="shared" si="14"/>
        <v>0</v>
      </c>
      <c r="U201" t="str">
        <f t="shared" si="15"/>
        <v>13-24 Months</v>
      </c>
    </row>
    <row r="202" spans="1:21">
      <c r="A202" t="s">
        <v>417</v>
      </c>
      <c r="B202" t="s">
        <v>140</v>
      </c>
      <c r="C202" s="2" t="s">
        <v>418</v>
      </c>
      <c r="D202" s="2" t="str">
        <f t="shared" si="12"/>
        <v>Amaka Garcia</v>
      </c>
      <c r="E202">
        <v>39</v>
      </c>
      <c r="F202" s="3" t="str">
        <f t="shared" si="13"/>
        <v>30-39</v>
      </c>
      <c r="G202" t="s">
        <v>194</v>
      </c>
      <c r="H202" t="s">
        <v>35</v>
      </c>
      <c r="I202" t="s">
        <v>36</v>
      </c>
      <c r="J202">
        <v>1</v>
      </c>
      <c r="K202" t="s">
        <v>44</v>
      </c>
      <c r="L202">
        <v>33</v>
      </c>
      <c r="M202" t="s">
        <v>63</v>
      </c>
      <c r="N202">
        <v>9000</v>
      </c>
      <c r="O202">
        <v>8</v>
      </c>
      <c r="P202">
        <v>72000</v>
      </c>
      <c r="Q202">
        <v>186.98</v>
      </c>
      <c r="R202" t="s">
        <v>46</v>
      </c>
      <c r="S202" t="s">
        <v>47</v>
      </c>
      <c r="T202">
        <f t="shared" si="14"/>
        <v>0</v>
      </c>
      <c r="U202" t="str">
        <f t="shared" si="15"/>
        <v>24+ Months</v>
      </c>
    </row>
    <row r="203" spans="1:21">
      <c r="A203" t="s">
        <v>419</v>
      </c>
      <c r="B203" t="s">
        <v>140</v>
      </c>
      <c r="C203" s="2" t="s">
        <v>418</v>
      </c>
      <c r="D203" s="2" t="str">
        <f t="shared" si="12"/>
        <v>Amaka Garcia</v>
      </c>
      <c r="E203">
        <v>39</v>
      </c>
      <c r="F203" s="3" t="str">
        <f t="shared" si="13"/>
        <v>30-39</v>
      </c>
      <c r="G203" t="s">
        <v>194</v>
      </c>
      <c r="H203" t="s">
        <v>51</v>
      </c>
      <c r="I203" t="s">
        <v>36</v>
      </c>
      <c r="J203">
        <v>1</v>
      </c>
      <c r="K203" t="s">
        <v>44</v>
      </c>
      <c r="L203">
        <v>33</v>
      </c>
      <c r="M203" t="s">
        <v>82</v>
      </c>
      <c r="N203">
        <v>30000</v>
      </c>
      <c r="O203">
        <v>17</v>
      </c>
      <c r="P203">
        <v>510000</v>
      </c>
      <c r="Q203">
        <v>189.52</v>
      </c>
      <c r="R203" t="s">
        <v>46</v>
      </c>
      <c r="S203" t="s">
        <v>47</v>
      </c>
      <c r="T203">
        <f t="shared" si="14"/>
        <v>0</v>
      </c>
      <c r="U203" t="str">
        <f t="shared" si="15"/>
        <v>24+ Months</v>
      </c>
    </row>
    <row r="204" spans="1:21">
      <c r="A204" t="s">
        <v>420</v>
      </c>
      <c r="B204" t="s">
        <v>115</v>
      </c>
      <c r="C204" s="2" t="s">
        <v>421</v>
      </c>
      <c r="D204" s="2" t="str">
        <f t="shared" si="12"/>
        <v>Abubakar Holmes</v>
      </c>
      <c r="E204">
        <v>26</v>
      </c>
      <c r="F204" s="3" t="str">
        <f t="shared" si="13"/>
        <v>20-29</v>
      </c>
      <c r="G204" t="s">
        <v>197</v>
      </c>
      <c r="H204" t="s">
        <v>51</v>
      </c>
      <c r="I204" t="s">
        <v>26</v>
      </c>
      <c r="J204">
        <v>2</v>
      </c>
      <c r="K204" t="s">
        <v>27</v>
      </c>
      <c r="L204">
        <v>41</v>
      </c>
      <c r="M204" t="s">
        <v>78</v>
      </c>
      <c r="N204">
        <v>24000</v>
      </c>
      <c r="O204">
        <v>5</v>
      </c>
      <c r="P204">
        <v>120000</v>
      </c>
      <c r="Q204">
        <v>188.35</v>
      </c>
      <c r="R204" t="s">
        <v>46</v>
      </c>
      <c r="S204" t="s">
        <v>47</v>
      </c>
      <c r="T204">
        <f t="shared" si="14"/>
        <v>0</v>
      </c>
      <c r="U204" t="str">
        <f t="shared" si="15"/>
        <v>24+ Months</v>
      </c>
    </row>
    <row r="205" spans="1:21">
      <c r="A205" t="s">
        <v>422</v>
      </c>
      <c r="B205" t="s">
        <v>115</v>
      </c>
      <c r="C205" s="2" t="s">
        <v>421</v>
      </c>
      <c r="D205" s="2" t="str">
        <f t="shared" si="12"/>
        <v>Abubakar Holmes</v>
      </c>
      <c r="E205">
        <v>26</v>
      </c>
      <c r="F205" s="3" t="str">
        <f t="shared" si="13"/>
        <v>20-29</v>
      </c>
      <c r="G205" t="s">
        <v>197</v>
      </c>
      <c r="H205" t="s">
        <v>43</v>
      </c>
      <c r="I205" t="s">
        <v>26</v>
      </c>
      <c r="J205">
        <v>2</v>
      </c>
      <c r="K205" t="s">
        <v>27</v>
      </c>
      <c r="L205">
        <v>41</v>
      </c>
      <c r="M205" t="s">
        <v>82</v>
      </c>
      <c r="N205">
        <v>30000</v>
      </c>
      <c r="O205">
        <v>20</v>
      </c>
      <c r="P205">
        <v>600000</v>
      </c>
      <c r="Q205">
        <v>131.91999999999999</v>
      </c>
      <c r="R205" t="s">
        <v>46</v>
      </c>
      <c r="S205" t="s">
        <v>47</v>
      </c>
      <c r="T205">
        <f t="shared" si="14"/>
        <v>0</v>
      </c>
      <c r="U205" t="str">
        <f t="shared" si="15"/>
        <v>24+ Months</v>
      </c>
    </row>
    <row r="206" spans="1:21">
      <c r="A206" t="s">
        <v>423</v>
      </c>
      <c r="B206" t="s">
        <v>115</v>
      </c>
      <c r="C206" s="2" t="s">
        <v>421</v>
      </c>
      <c r="D206" s="2" t="str">
        <f t="shared" si="12"/>
        <v>Abubakar Holmes</v>
      </c>
      <c r="E206">
        <v>26</v>
      </c>
      <c r="F206" s="3" t="str">
        <f t="shared" si="13"/>
        <v>20-29</v>
      </c>
      <c r="G206" t="s">
        <v>197</v>
      </c>
      <c r="H206" t="s">
        <v>35</v>
      </c>
      <c r="I206" t="s">
        <v>26</v>
      </c>
      <c r="J206">
        <v>2</v>
      </c>
      <c r="K206" t="s">
        <v>27</v>
      </c>
      <c r="L206">
        <v>41</v>
      </c>
      <c r="M206" t="s">
        <v>69</v>
      </c>
      <c r="N206">
        <v>3500</v>
      </c>
      <c r="O206">
        <v>19</v>
      </c>
      <c r="P206">
        <v>66500</v>
      </c>
      <c r="Q206">
        <v>168.58</v>
      </c>
      <c r="R206" t="s">
        <v>46</v>
      </c>
      <c r="S206" t="s">
        <v>47</v>
      </c>
      <c r="T206">
        <f t="shared" si="14"/>
        <v>0</v>
      </c>
      <c r="U206" t="str">
        <f t="shared" si="15"/>
        <v>24+ Months</v>
      </c>
    </row>
    <row r="207" spans="1:21">
      <c r="A207" t="s">
        <v>424</v>
      </c>
      <c r="B207" t="s">
        <v>404</v>
      </c>
      <c r="C207" s="2" t="s">
        <v>425</v>
      </c>
      <c r="D207" s="2" t="str">
        <f t="shared" si="12"/>
        <v>Bola Rogers</v>
      </c>
      <c r="E207">
        <v>19</v>
      </c>
      <c r="F207" s="3" t="str">
        <f t="shared" si="13"/>
        <v>10-19</v>
      </c>
      <c r="G207" t="s">
        <v>415</v>
      </c>
      <c r="H207" t="s">
        <v>25</v>
      </c>
      <c r="I207" t="s">
        <v>26</v>
      </c>
      <c r="J207">
        <v>2</v>
      </c>
      <c r="K207" t="s">
        <v>27</v>
      </c>
      <c r="L207">
        <v>42</v>
      </c>
      <c r="M207" t="s">
        <v>57</v>
      </c>
      <c r="N207">
        <v>4500</v>
      </c>
      <c r="O207">
        <v>10</v>
      </c>
      <c r="P207">
        <v>45000</v>
      </c>
      <c r="Q207">
        <v>128.56</v>
      </c>
      <c r="R207" t="s">
        <v>46</v>
      </c>
      <c r="S207" t="s">
        <v>47</v>
      </c>
      <c r="T207">
        <f t="shared" si="14"/>
        <v>0</v>
      </c>
      <c r="U207" t="str">
        <f t="shared" si="15"/>
        <v>24+ Months</v>
      </c>
    </row>
    <row r="208" spans="1:21" hidden="1">
      <c r="A208" t="s">
        <v>426</v>
      </c>
      <c r="B208" t="s">
        <v>369</v>
      </c>
      <c r="C208" s="2" t="s">
        <v>427</v>
      </c>
      <c r="D208" s="2" t="str">
        <f t="shared" si="12"/>
        <v>John Rose</v>
      </c>
      <c r="E208">
        <v>47</v>
      </c>
      <c r="F208" s="3" t="str">
        <f t="shared" si="13"/>
        <v>40-49</v>
      </c>
      <c r="G208" t="s">
        <v>106</v>
      </c>
      <c r="H208" t="s">
        <v>35</v>
      </c>
      <c r="I208" t="s">
        <v>36</v>
      </c>
      <c r="J208">
        <v>1</v>
      </c>
      <c r="K208" t="s">
        <v>44</v>
      </c>
      <c r="L208">
        <v>30</v>
      </c>
      <c r="M208" t="s">
        <v>69</v>
      </c>
      <c r="N208">
        <v>3500</v>
      </c>
      <c r="O208">
        <v>11</v>
      </c>
      <c r="P208">
        <v>38500</v>
      </c>
      <c r="Q208">
        <v>121.53</v>
      </c>
      <c r="R208" t="s">
        <v>29</v>
      </c>
      <c r="S208" t="s">
        <v>229</v>
      </c>
      <c r="T208">
        <f t="shared" si="14"/>
        <v>38500</v>
      </c>
      <c r="U208" t="str">
        <f t="shared" si="15"/>
        <v>24+ Months</v>
      </c>
    </row>
    <row r="209" spans="1:21" hidden="1">
      <c r="A209" t="s">
        <v>428</v>
      </c>
      <c r="B209" t="s">
        <v>369</v>
      </c>
      <c r="C209" s="2" t="s">
        <v>427</v>
      </c>
      <c r="D209" s="2" t="str">
        <f t="shared" si="12"/>
        <v>John Rose</v>
      </c>
      <c r="E209">
        <v>47</v>
      </c>
      <c r="F209" s="3" t="str">
        <f t="shared" si="13"/>
        <v>40-49</v>
      </c>
      <c r="G209" t="s">
        <v>106</v>
      </c>
      <c r="H209" t="s">
        <v>51</v>
      </c>
      <c r="I209" t="s">
        <v>36</v>
      </c>
      <c r="J209">
        <v>1</v>
      </c>
      <c r="K209" t="s">
        <v>44</v>
      </c>
      <c r="L209">
        <v>30</v>
      </c>
      <c r="M209" t="s">
        <v>82</v>
      </c>
      <c r="N209">
        <v>30000</v>
      </c>
      <c r="O209">
        <v>12</v>
      </c>
      <c r="P209">
        <v>360000</v>
      </c>
      <c r="Q209">
        <v>146.97</v>
      </c>
      <c r="R209" t="s">
        <v>29</v>
      </c>
      <c r="S209" t="s">
        <v>229</v>
      </c>
      <c r="T209">
        <f t="shared" si="14"/>
        <v>360000</v>
      </c>
      <c r="U209" t="str">
        <f t="shared" si="15"/>
        <v>24+ Months</v>
      </c>
    </row>
    <row r="210" spans="1:21" hidden="1">
      <c r="A210" t="s">
        <v>429</v>
      </c>
      <c r="B210" t="s">
        <v>65</v>
      </c>
      <c r="C210" s="2" t="s">
        <v>430</v>
      </c>
      <c r="D210" s="2" t="str">
        <f t="shared" si="12"/>
        <v>Tamuno Bates</v>
      </c>
      <c r="E210">
        <v>32</v>
      </c>
      <c r="F210" s="3" t="str">
        <f t="shared" si="13"/>
        <v>30-39</v>
      </c>
      <c r="G210" t="s">
        <v>56</v>
      </c>
      <c r="H210" t="s">
        <v>35</v>
      </c>
      <c r="I210" t="s">
        <v>26</v>
      </c>
      <c r="J210">
        <v>4</v>
      </c>
      <c r="K210" t="s">
        <v>155</v>
      </c>
      <c r="L210">
        <v>21</v>
      </c>
      <c r="M210" t="s">
        <v>73</v>
      </c>
      <c r="N210">
        <v>16000</v>
      </c>
      <c r="O210">
        <v>13</v>
      </c>
      <c r="P210">
        <v>208000</v>
      </c>
      <c r="Q210">
        <v>10.6</v>
      </c>
      <c r="R210" t="s">
        <v>29</v>
      </c>
      <c r="S210" t="s">
        <v>229</v>
      </c>
      <c r="T210">
        <f t="shared" si="14"/>
        <v>208000</v>
      </c>
      <c r="U210" t="str">
        <f t="shared" si="15"/>
        <v>13-24 Months</v>
      </c>
    </row>
    <row r="211" spans="1:21">
      <c r="A211" t="s">
        <v>431</v>
      </c>
      <c r="B211" t="s">
        <v>316</v>
      </c>
      <c r="C211" s="2" t="s">
        <v>432</v>
      </c>
      <c r="D211" s="2" t="str">
        <f t="shared" si="12"/>
        <v>Ibim Richards</v>
      </c>
      <c r="E211">
        <v>47</v>
      </c>
      <c r="F211" s="3" t="str">
        <f t="shared" si="13"/>
        <v>40-49</v>
      </c>
      <c r="G211" t="s">
        <v>34</v>
      </c>
      <c r="H211" t="s">
        <v>35</v>
      </c>
      <c r="I211" t="s">
        <v>36</v>
      </c>
      <c r="J211">
        <v>2</v>
      </c>
      <c r="K211" t="s">
        <v>27</v>
      </c>
      <c r="L211">
        <v>60</v>
      </c>
      <c r="M211" t="s">
        <v>49</v>
      </c>
      <c r="N211">
        <v>500</v>
      </c>
      <c r="O211">
        <v>3</v>
      </c>
      <c r="P211">
        <v>1500</v>
      </c>
      <c r="Q211">
        <v>99.73</v>
      </c>
      <c r="R211" t="s">
        <v>46</v>
      </c>
      <c r="S211" t="s">
        <v>47</v>
      </c>
      <c r="T211">
        <f t="shared" si="14"/>
        <v>0</v>
      </c>
      <c r="U211" t="str">
        <f t="shared" si="15"/>
        <v>24+ Months</v>
      </c>
    </row>
    <row r="212" spans="1:21">
      <c r="A212" t="s">
        <v>433</v>
      </c>
      <c r="B212" t="s">
        <v>316</v>
      </c>
      <c r="C212" s="2" t="s">
        <v>432</v>
      </c>
      <c r="D212" s="2" t="str">
        <f t="shared" si="12"/>
        <v>Ibim Richards</v>
      </c>
      <c r="E212">
        <v>47</v>
      </c>
      <c r="F212" s="3" t="str">
        <f t="shared" si="13"/>
        <v>40-49</v>
      </c>
      <c r="G212" t="s">
        <v>34</v>
      </c>
      <c r="H212" t="s">
        <v>25</v>
      </c>
      <c r="I212" t="s">
        <v>36</v>
      </c>
      <c r="J212">
        <v>2</v>
      </c>
      <c r="K212" t="s">
        <v>27</v>
      </c>
      <c r="L212">
        <v>60</v>
      </c>
      <c r="M212" t="s">
        <v>28</v>
      </c>
      <c r="N212">
        <v>35000</v>
      </c>
      <c r="O212">
        <v>8</v>
      </c>
      <c r="P212">
        <v>280000</v>
      </c>
      <c r="Q212">
        <v>101.34</v>
      </c>
      <c r="R212" t="s">
        <v>46</v>
      </c>
      <c r="S212" t="s">
        <v>47</v>
      </c>
      <c r="T212">
        <f t="shared" si="14"/>
        <v>0</v>
      </c>
      <c r="U212" t="str">
        <f t="shared" si="15"/>
        <v>24+ Months</v>
      </c>
    </row>
    <row r="213" spans="1:21">
      <c r="A213" t="s">
        <v>434</v>
      </c>
      <c r="B213" t="s">
        <v>335</v>
      </c>
      <c r="C213" s="2" t="s">
        <v>435</v>
      </c>
      <c r="D213" s="2" t="str">
        <f t="shared" si="12"/>
        <v>Fatima Blevins</v>
      </c>
      <c r="E213">
        <v>61</v>
      </c>
      <c r="F213" s="3" t="str">
        <f t="shared" si="13"/>
        <v>60-69</v>
      </c>
      <c r="G213" t="s">
        <v>61</v>
      </c>
      <c r="H213" t="s">
        <v>35</v>
      </c>
      <c r="I213" t="s">
        <v>26</v>
      </c>
      <c r="J213">
        <v>5</v>
      </c>
      <c r="K213" t="s">
        <v>68</v>
      </c>
      <c r="L213">
        <v>19</v>
      </c>
      <c r="M213" t="s">
        <v>108</v>
      </c>
      <c r="N213">
        <v>1000</v>
      </c>
      <c r="O213">
        <v>9</v>
      </c>
      <c r="P213">
        <v>9000</v>
      </c>
      <c r="Q213">
        <v>86.47</v>
      </c>
      <c r="R213" t="s">
        <v>46</v>
      </c>
      <c r="S213" t="s">
        <v>47</v>
      </c>
      <c r="T213">
        <f t="shared" si="14"/>
        <v>0</v>
      </c>
      <c r="U213" t="str">
        <f t="shared" si="15"/>
        <v>13-24 Months</v>
      </c>
    </row>
    <row r="214" spans="1:21">
      <c r="A214" t="s">
        <v>436</v>
      </c>
      <c r="B214" t="s">
        <v>335</v>
      </c>
      <c r="C214" s="2" t="s">
        <v>435</v>
      </c>
      <c r="D214" s="2" t="str">
        <f t="shared" si="12"/>
        <v>Fatima Blevins</v>
      </c>
      <c r="E214">
        <v>61</v>
      </c>
      <c r="F214" s="3" t="str">
        <f t="shared" si="13"/>
        <v>60-69</v>
      </c>
      <c r="G214" t="s">
        <v>61</v>
      </c>
      <c r="H214" t="s">
        <v>25</v>
      </c>
      <c r="I214" t="s">
        <v>26</v>
      </c>
      <c r="J214">
        <v>5</v>
      </c>
      <c r="K214" t="s">
        <v>68</v>
      </c>
      <c r="L214">
        <v>19</v>
      </c>
      <c r="M214" t="s">
        <v>63</v>
      </c>
      <c r="N214">
        <v>9000</v>
      </c>
      <c r="O214">
        <v>12</v>
      </c>
      <c r="P214">
        <v>108000</v>
      </c>
      <c r="Q214">
        <v>152.88999999999999</v>
      </c>
      <c r="R214" t="s">
        <v>46</v>
      </c>
      <c r="S214" t="s">
        <v>47</v>
      </c>
      <c r="T214">
        <f t="shared" si="14"/>
        <v>0</v>
      </c>
      <c r="U214" t="str">
        <f t="shared" si="15"/>
        <v>13-24 Months</v>
      </c>
    </row>
    <row r="215" spans="1:21">
      <c r="A215" t="s">
        <v>437</v>
      </c>
      <c r="B215" t="s">
        <v>335</v>
      </c>
      <c r="C215" s="2" t="s">
        <v>435</v>
      </c>
      <c r="D215" s="2" t="str">
        <f t="shared" si="12"/>
        <v>Fatima Blevins</v>
      </c>
      <c r="E215">
        <v>61</v>
      </c>
      <c r="F215" s="3" t="str">
        <f t="shared" si="13"/>
        <v>60-69</v>
      </c>
      <c r="G215" t="s">
        <v>61</v>
      </c>
      <c r="H215" t="s">
        <v>51</v>
      </c>
      <c r="I215" t="s">
        <v>26</v>
      </c>
      <c r="J215">
        <v>5</v>
      </c>
      <c r="K215" t="s">
        <v>68</v>
      </c>
      <c r="L215">
        <v>19</v>
      </c>
      <c r="M215" t="s">
        <v>52</v>
      </c>
      <c r="N215">
        <v>9000</v>
      </c>
      <c r="O215">
        <v>19</v>
      </c>
      <c r="P215">
        <v>171000</v>
      </c>
      <c r="Q215">
        <v>80.42</v>
      </c>
      <c r="R215" t="s">
        <v>46</v>
      </c>
      <c r="S215" t="s">
        <v>47</v>
      </c>
      <c r="T215">
        <f t="shared" si="14"/>
        <v>0</v>
      </c>
      <c r="U215" t="str">
        <f t="shared" si="15"/>
        <v>13-24 Months</v>
      </c>
    </row>
    <row r="216" spans="1:21" hidden="1">
      <c r="A216" t="s">
        <v>438</v>
      </c>
      <c r="B216" t="s">
        <v>84</v>
      </c>
      <c r="C216" s="2" t="s">
        <v>268</v>
      </c>
      <c r="D216" s="2" t="str">
        <f t="shared" si="12"/>
        <v>Bala Smith</v>
      </c>
      <c r="E216">
        <v>62</v>
      </c>
      <c r="F216" s="3" t="str">
        <f t="shared" si="13"/>
        <v>60-69</v>
      </c>
      <c r="G216" t="s">
        <v>136</v>
      </c>
      <c r="H216" t="s">
        <v>51</v>
      </c>
      <c r="I216" t="s">
        <v>26</v>
      </c>
      <c r="J216">
        <v>5</v>
      </c>
      <c r="K216" t="s">
        <v>68</v>
      </c>
      <c r="L216">
        <v>25</v>
      </c>
      <c r="M216" t="s">
        <v>91</v>
      </c>
      <c r="N216">
        <v>14500</v>
      </c>
      <c r="O216">
        <v>11</v>
      </c>
      <c r="P216">
        <v>159500</v>
      </c>
      <c r="Q216">
        <v>74.95</v>
      </c>
      <c r="R216" t="s">
        <v>29</v>
      </c>
      <c r="S216" t="s">
        <v>30</v>
      </c>
      <c r="T216">
        <f t="shared" si="14"/>
        <v>159500</v>
      </c>
      <c r="U216" t="str">
        <f t="shared" si="15"/>
        <v>24+ Months</v>
      </c>
    </row>
    <row r="217" spans="1:21" hidden="1">
      <c r="A217" t="s">
        <v>439</v>
      </c>
      <c r="B217" t="s">
        <v>84</v>
      </c>
      <c r="C217" s="2" t="s">
        <v>268</v>
      </c>
      <c r="D217" s="2" t="str">
        <f t="shared" si="12"/>
        <v>Bala Smith</v>
      </c>
      <c r="E217">
        <v>62</v>
      </c>
      <c r="F217" s="3" t="str">
        <f t="shared" si="13"/>
        <v>60-69</v>
      </c>
      <c r="G217" t="s">
        <v>136</v>
      </c>
      <c r="H217" t="s">
        <v>35</v>
      </c>
      <c r="I217" t="s">
        <v>26</v>
      </c>
      <c r="J217">
        <v>5</v>
      </c>
      <c r="K217" t="s">
        <v>68</v>
      </c>
      <c r="L217">
        <v>25</v>
      </c>
      <c r="M217" t="s">
        <v>264</v>
      </c>
      <c r="N217">
        <v>6500</v>
      </c>
      <c r="O217">
        <v>5</v>
      </c>
      <c r="P217">
        <v>32500</v>
      </c>
      <c r="Q217">
        <v>187.82</v>
      </c>
      <c r="R217" t="s">
        <v>29</v>
      </c>
      <c r="S217" t="s">
        <v>30</v>
      </c>
      <c r="T217">
        <f t="shared" si="14"/>
        <v>32500</v>
      </c>
      <c r="U217" t="str">
        <f t="shared" si="15"/>
        <v>24+ Months</v>
      </c>
    </row>
    <row r="218" spans="1:21" hidden="1">
      <c r="A218" t="s">
        <v>440</v>
      </c>
      <c r="B218" t="s">
        <v>84</v>
      </c>
      <c r="C218" s="2" t="s">
        <v>268</v>
      </c>
      <c r="D218" s="2" t="str">
        <f t="shared" si="12"/>
        <v>Bala Smith</v>
      </c>
      <c r="E218">
        <v>62</v>
      </c>
      <c r="F218" s="3" t="str">
        <f t="shared" si="13"/>
        <v>60-69</v>
      </c>
      <c r="G218" t="s">
        <v>136</v>
      </c>
      <c r="H218" t="s">
        <v>43</v>
      </c>
      <c r="I218" t="s">
        <v>26</v>
      </c>
      <c r="J218">
        <v>5</v>
      </c>
      <c r="K218" t="s">
        <v>68</v>
      </c>
      <c r="L218">
        <v>25</v>
      </c>
      <c r="M218" t="s">
        <v>91</v>
      </c>
      <c r="N218">
        <v>14500</v>
      </c>
      <c r="O218">
        <v>13</v>
      </c>
      <c r="P218">
        <v>188500</v>
      </c>
      <c r="Q218">
        <v>120.69</v>
      </c>
      <c r="R218" t="s">
        <v>29</v>
      </c>
      <c r="S218" t="s">
        <v>30</v>
      </c>
      <c r="T218">
        <f t="shared" si="14"/>
        <v>188500</v>
      </c>
      <c r="U218" t="str">
        <f t="shared" si="15"/>
        <v>24+ Months</v>
      </c>
    </row>
    <row r="219" spans="1:21">
      <c r="A219" t="s">
        <v>441</v>
      </c>
      <c r="B219" t="s">
        <v>345</v>
      </c>
      <c r="C219" s="2" t="s">
        <v>41</v>
      </c>
      <c r="D219" s="2" t="str">
        <f t="shared" si="12"/>
        <v>Michael Evans</v>
      </c>
      <c r="E219">
        <v>21</v>
      </c>
      <c r="F219" s="3" t="str">
        <f t="shared" si="13"/>
        <v>20-29</v>
      </c>
      <c r="G219" t="s">
        <v>175</v>
      </c>
      <c r="H219" t="s">
        <v>25</v>
      </c>
      <c r="I219" t="s">
        <v>26</v>
      </c>
      <c r="J219">
        <v>4</v>
      </c>
      <c r="K219" t="s">
        <v>155</v>
      </c>
      <c r="L219">
        <v>9</v>
      </c>
      <c r="M219" t="s">
        <v>63</v>
      </c>
      <c r="N219">
        <v>9000</v>
      </c>
      <c r="O219">
        <v>11</v>
      </c>
      <c r="P219">
        <v>99000</v>
      </c>
      <c r="Q219">
        <v>186.31</v>
      </c>
      <c r="R219" t="s">
        <v>46</v>
      </c>
      <c r="S219" t="s">
        <v>47</v>
      </c>
      <c r="T219">
        <f t="shared" si="14"/>
        <v>0</v>
      </c>
      <c r="U219" t="str">
        <f t="shared" si="15"/>
        <v>7-12 Months</v>
      </c>
    </row>
    <row r="220" spans="1:21" hidden="1">
      <c r="A220" t="s">
        <v>442</v>
      </c>
      <c r="B220" t="s">
        <v>192</v>
      </c>
      <c r="C220" s="2" t="s">
        <v>443</v>
      </c>
      <c r="D220" s="2" t="str">
        <f t="shared" si="12"/>
        <v>Amina Todd</v>
      </c>
      <c r="E220">
        <v>66</v>
      </c>
      <c r="F220" s="3" t="str">
        <f t="shared" si="13"/>
        <v>60-69</v>
      </c>
      <c r="G220" t="s">
        <v>206</v>
      </c>
      <c r="H220" t="s">
        <v>43</v>
      </c>
      <c r="I220" t="s">
        <v>36</v>
      </c>
      <c r="J220">
        <v>5</v>
      </c>
      <c r="K220" t="s">
        <v>68</v>
      </c>
      <c r="L220">
        <v>33</v>
      </c>
      <c r="M220" t="s">
        <v>156</v>
      </c>
      <c r="N220">
        <v>25000</v>
      </c>
      <c r="O220">
        <v>14</v>
      </c>
      <c r="P220">
        <v>350000</v>
      </c>
      <c r="Q220">
        <v>134.91999999999999</v>
      </c>
      <c r="R220" t="s">
        <v>29</v>
      </c>
      <c r="S220" t="s">
        <v>38</v>
      </c>
      <c r="T220">
        <f t="shared" si="14"/>
        <v>350000</v>
      </c>
      <c r="U220" t="str">
        <f t="shared" si="15"/>
        <v>24+ Months</v>
      </c>
    </row>
    <row r="221" spans="1:21">
      <c r="A221" t="s">
        <v>444</v>
      </c>
      <c r="B221" t="s">
        <v>169</v>
      </c>
      <c r="C221" s="2" t="s">
        <v>268</v>
      </c>
      <c r="D221" s="2" t="str">
        <f t="shared" si="12"/>
        <v>Maryam Smith</v>
      </c>
      <c r="E221">
        <v>19</v>
      </c>
      <c r="F221" s="3" t="str">
        <f t="shared" si="13"/>
        <v>10-19</v>
      </c>
      <c r="G221" t="s">
        <v>292</v>
      </c>
      <c r="H221" t="s">
        <v>35</v>
      </c>
      <c r="I221" t="s">
        <v>36</v>
      </c>
      <c r="J221">
        <v>1</v>
      </c>
      <c r="K221" t="s">
        <v>44</v>
      </c>
      <c r="L221">
        <v>42</v>
      </c>
      <c r="M221" t="s">
        <v>227</v>
      </c>
      <c r="N221">
        <v>600</v>
      </c>
      <c r="O221">
        <v>8</v>
      </c>
      <c r="P221">
        <v>4800</v>
      </c>
      <c r="Q221">
        <v>164.42</v>
      </c>
      <c r="R221" t="s">
        <v>46</v>
      </c>
      <c r="S221" t="s">
        <v>47</v>
      </c>
      <c r="T221">
        <f t="shared" si="14"/>
        <v>0</v>
      </c>
      <c r="U221" t="str">
        <f t="shared" si="15"/>
        <v>24+ Months</v>
      </c>
    </row>
    <row r="222" spans="1:21" hidden="1">
      <c r="A222" t="s">
        <v>445</v>
      </c>
      <c r="B222" t="s">
        <v>404</v>
      </c>
      <c r="C222" s="2" t="s">
        <v>418</v>
      </c>
      <c r="D222" s="2" t="str">
        <f t="shared" si="12"/>
        <v>Bola Garcia</v>
      </c>
      <c r="E222">
        <v>30</v>
      </c>
      <c r="F222" s="3" t="str">
        <f t="shared" si="13"/>
        <v>30-39</v>
      </c>
      <c r="G222" t="s">
        <v>162</v>
      </c>
      <c r="H222" t="s">
        <v>35</v>
      </c>
      <c r="I222" t="s">
        <v>26</v>
      </c>
      <c r="J222">
        <v>4</v>
      </c>
      <c r="K222" t="s">
        <v>155</v>
      </c>
      <c r="L222">
        <v>29</v>
      </c>
      <c r="M222" t="s">
        <v>264</v>
      </c>
      <c r="N222">
        <v>6500</v>
      </c>
      <c r="O222">
        <v>16</v>
      </c>
      <c r="P222">
        <v>104000</v>
      </c>
      <c r="Q222">
        <v>155.11000000000001</v>
      </c>
      <c r="R222" t="s">
        <v>29</v>
      </c>
      <c r="S222" t="s">
        <v>393</v>
      </c>
      <c r="T222">
        <f t="shared" si="14"/>
        <v>104000</v>
      </c>
      <c r="U222" t="str">
        <f t="shared" si="15"/>
        <v>24+ Months</v>
      </c>
    </row>
    <row r="223" spans="1:21">
      <c r="A223" t="s">
        <v>446</v>
      </c>
      <c r="B223" t="s">
        <v>447</v>
      </c>
      <c r="C223" s="2" t="s">
        <v>448</v>
      </c>
      <c r="D223" s="2" t="str">
        <f t="shared" si="12"/>
        <v>Sade Collins</v>
      </c>
      <c r="E223">
        <v>33</v>
      </c>
      <c r="F223" s="3" t="str">
        <f t="shared" si="13"/>
        <v>30-39</v>
      </c>
      <c r="G223" t="s">
        <v>96</v>
      </c>
      <c r="H223" t="s">
        <v>25</v>
      </c>
      <c r="I223" t="s">
        <v>26</v>
      </c>
      <c r="J223">
        <v>4</v>
      </c>
      <c r="K223" t="s">
        <v>155</v>
      </c>
      <c r="L223">
        <v>36</v>
      </c>
      <c r="M223" t="s">
        <v>63</v>
      </c>
      <c r="N223">
        <v>9000</v>
      </c>
      <c r="O223">
        <v>9</v>
      </c>
      <c r="P223">
        <v>81000</v>
      </c>
      <c r="Q223">
        <v>109.48</v>
      </c>
      <c r="R223" t="s">
        <v>46</v>
      </c>
      <c r="S223" t="s">
        <v>47</v>
      </c>
      <c r="T223">
        <f t="shared" si="14"/>
        <v>0</v>
      </c>
      <c r="U223" t="str">
        <f t="shared" si="15"/>
        <v>24+ Months</v>
      </c>
    </row>
    <row r="224" spans="1:21">
      <c r="A224" t="s">
        <v>449</v>
      </c>
      <c r="B224" t="s">
        <v>447</v>
      </c>
      <c r="C224" s="2" t="s">
        <v>448</v>
      </c>
      <c r="D224" s="2" t="str">
        <f t="shared" si="12"/>
        <v>Sade Collins</v>
      </c>
      <c r="E224">
        <v>33</v>
      </c>
      <c r="F224" s="3" t="str">
        <f t="shared" si="13"/>
        <v>30-39</v>
      </c>
      <c r="G224" t="s">
        <v>96</v>
      </c>
      <c r="H224" t="s">
        <v>35</v>
      </c>
      <c r="I224" t="s">
        <v>26</v>
      </c>
      <c r="J224">
        <v>4</v>
      </c>
      <c r="K224" t="s">
        <v>155</v>
      </c>
      <c r="L224">
        <v>36</v>
      </c>
      <c r="M224" t="s">
        <v>37</v>
      </c>
      <c r="N224">
        <v>5500</v>
      </c>
      <c r="O224">
        <v>8</v>
      </c>
      <c r="P224">
        <v>44000</v>
      </c>
      <c r="Q224">
        <v>38.86</v>
      </c>
      <c r="R224" t="s">
        <v>46</v>
      </c>
      <c r="S224" t="s">
        <v>47</v>
      </c>
      <c r="T224">
        <f t="shared" si="14"/>
        <v>0</v>
      </c>
      <c r="U224" t="str">
        <f t="shared" si="15"/>
        <v>24+ Months</v>
      </c>
    </row>
    <row r="225" spans="1:21">
      <c r="A225" t="s">
        <v>450</v>
      </c>
      <c r="B225" t="s">
        <v>32</v>
      </c>
      <c r="C225" s="2" t="s">
        <v>418</v>
      </c>
      <c r="D225" s="2" t="str">
        <f t="shared" si="12"/>
        <v>Zainab Garcia</v>
      </c>
      <c r="E225">
        <v>54</v>
      </c>
      <c r="F225" s="3" t="str">
        <f t="shared" si="13"/>
        <v>50-59</v>
      </c>
      <c r="G225" t="s">
        <v>154</v>
      </c>
      <c r="H225" t="s">
        <v>43</v>
      </c>
      <c r="I225" t="s">
        <v>36</v>
      </c>
      <c r="J225">
        <v>2</v>
      </c>
      <c r="K225" t="s">
        <v>27</v>
      </c>
      <c r="L225">
        <v>50</v>
      </c>
      <c r="M225" t="s">
        <v>156</v>
      </c>
      <c r="N225">
        <v>25000</v>
      </c>
      <c r="O225">
        <v>9</v>
      </c>
      <c r="P225">
        <v>225000</v>
      </c>
      <c r="Q225">
        <v>112.32</v>
      </c>
      <c r="R225" t="s">
        <v>46</v>
      </c>
      <c r="S225" t="s">
        <v>47</v>
      </c>
      <c r="T225">
        <f t="shared" si="14"/>
        <v>0</v>
      </c>
      <c r="U225" t="str">
        <f t="shared" si="15"/>
        <v>24+ Months</v>
      </c>
    </row>
    <row r="226" spans="1:21">
      <c r="A226" t="s">
        <v>451</v>
      </c>
      <c r="B226" t="s">
        <v>32</v>
      </c>
      <c r="C226" s="2" t="s">
        <v>418</v>
      </c>
      <c r="D226" s="2" t="str">
        <f t="shared" si="12"/>
        <v>Zainab Garcia</v>
      </c>
      <c r="E226">
        <v>54</v>
      </c>
      <c r="F226" s="3" t="str">
        <f t="shared" si="13"/>
        <v>50-59</v>
      </c>
      <c r="G226" t="s">
        <v>154</v>
      </c>
      <c r="H226" t="s">
        <v>25</v>
      </c>
      <c r="I226" t="s">
        <v>36</v>
      </c>
      <c r="J226">
        <v>2</v>
      </c>
      <c r="K226" t="s">
        <v>27</v>
      </c>
      <c r="L226">
        <v>50</v>
      </c>
      <c r="M226" t="s">
        <v>63</v>
      </c>
      <c r="N226">
        <v>9000</v>
      </c>
      <c r="O226">
        <v>18</v>
      </c>
      <c r="P226">
        <v>162000</v>
      </c>
      <c r="Q226">
        <v>24.81</v>
      </c>
      <c r="R226" t="s">
        <v>46</v>
      </c>
      <c r="S226" t="s">
        <v>47</v>
      </c>
      <c r="T226">
        <f t="shared" si="14"/>
        <v>0</v>
      </c>
      <c r="U226" t="str">
        <f t="shared" si="15"/>
        <v>24+ Months</v>
      </c>
    </row>
    <row r="227" spans="1:21">
      <c r="A227" t="s">
        <v>452</v>
      </c>
      <c r="B227" t="s">
        <v>358</v>
      </c>
      <c r="C227" s="2" t="s">
        <v>190</v>
      </c>
      <c r="D227" s="2" t="str">
        <f t="shared" si="12"/>
        <v>Omamuzo Terry</v>
      </c>
      <c r="E227">
        <v>66</v>
      </c>
      <c r="F227" s="3" t="str">
        <f t="shared" si="13"/>
        <v>60-69</v>
      </c>
      <c r="G227" t="s">
        <v>210</v>
      </c>
      <c r="H227" t="s">
        <v>43</v>
      </c>
      <c r="I227" t="s">
        <v>26</v>
      </c>
      <c r="J227">
        <v>3</v>
      </c>
      <c r="K227" t="s">
        <v>62</v>
      </c>
      <c r="L227">
        <v>19</v>
      </c>
      <c r="M227" t="s">
        <v>71</v>
      </c>
      <c r="N227">
        <v>150000</v>
      </c>
      <c r="O227">
        <v>16</v>
      </c>
      <c r="P227">
        <v>2400000</v>
      </c>
      <c r="Q227">
        <v>131.37</v>
      </c>
      <c r="R227" t="s">
        <v>46</v>
      </c>
      <c r="S227" t="s">
        <v>47</v>
      </c>
      <c r="T227">
        <f t="shared" si="14"/>
        <v>0</v>
      </c>
      <c r="U227" t="str">
        <f t="shared" si="15"/>
        <v>13-24 Months</v>
      </c>
    </row>
    <row r="228" spans="1:21" hidden="1">
      <c r="A228" t="s">
        <v>453</v>
      </c>
      <c r="B228" t="s">
        <v>335</v>
      </c>
      <c r="C228" s="2" t="s">
        <v>454</v>
      </c>
      <c r="D228" s="2" t="str">
        <f t="shared" si="12"/>
        <v>Fatima Lindsey</v>
      </c>
      <c r="E228">
        <v>41</v>
      </c>
      <c r="F228" s="3" t="str">
        <f t="shared" si="13"/>
        <v>40-49</v>
      </c>
      <c r="G228" t="s">
        <v>111</v>
      </c>
      <c r="H228" t="s">
        <v>25</v>
      </c>
      <c r="I228" t="s">
        <v>36</v>
      </c>
      <c r="J228">
        <v>2</v>
      </c>
      <c r="K228" t="s">
        <v>27</v>
      </c>
      <c r="L228">
        <v>60</v>
      </c>
      <c r="M228" t="s">
        <v>57</v>
      </c>
      <c r="N228">
        <v>4500</v>
      </c>
      <c r="O228">
        <v>2</v>
      </c>
      <c r="P228">
        <v>9000</v>
      </c>
      <c r="Q228">
        <v>127.77</v>
      </c>
      <c r="R228" t="s">
        <v>29</v>
      </c>
      <c r="S228" t="s">
        <v>393</v>
      </c>
      <c r="T228">
        <f t="shared" si="14"/>
        <v>9000</v>
      </c>
      <c r="U228" t="str">
        <f t="shared" si="15"/>
        <v>24+ Months</v>
      </c>
    </row>
    <row r="229" spans="1:21" hidden="1">
      <c r="A229" t="s">
        <v>455</v>
      </c>
      <c r="B229" t="s">
        <v>335</v>
      </c>
      <c r="C229" s="2" t="s">
        <v>454</v>
      </c>
      <c r="D229" s="2" t="str">
        <f t="shared" si="12"/>
        <v>Fatima Lindsey</v>
      </c>
      <c r="E229">
        <v>41</v>
      </c>
      <c r="F229" s="3" t="str">
        <f t="shared" si="13"/>
        <v>40-49</v>
      </c>
      <c r="G229" t="s">
        <v>111</v>
      </c>
      <c r="H229" t="s">
        <v>51</v>
      </c>
      <c r="I229" t="s">
        <v>36</v>
      </c>
      <c r="J229">
        <v>2</v>
      </c>
      <c r="K229" t="s">
        <v>27</v>
      </c>
      <c r="L229">
        <v>60</v>
      </c>
      <c r="M229" t="s">
        <v>52</v>
      </c>
      <c r="N229">
        <v>9000</v>
      </c>
      <c r="O229">
        <v>16</v>
      </c>
      <c r="P229">
        <v>144000</v>
      </c>
      <c r="Q229">
        <v>82.95</v>
      </c>
      <c r="R229" t="s">
        <v>29</v>
      </c>
      <c r="S229" t="s">
        <v>393</v>
      </c>
      <c r="T229">
        <f t="shared" si="14"/>
        <v>144000</v>
      </c>
      <c r="U229" t="str">
        <f t="shared" si="15"/>
        <v>24+ Months</v>
      </c>
    </row>
    <row r="230" spans="1:21" hidden="1">
      <c r="A230" t="s">
        <v>456</v>
      </c>
      <c r="B230" t="s">
        <v>335</v>
      </c>
      <c r="C230" s="2" t="s">
        <v>454</v>
      </c>
      <c r="D230" s="2" t="str">
        <f t="shared" si="12"/>
        <v>Fatima Lindsey</v>
      </c>
      <c r="E230">
        <v>41</v>
      </c>
      <c r="F230" s="3" t="str">
        <f t="shared" si="13"/>
        <v>40-49</v>
      </c>
      <c r="G230" t="s">
        <v>111</v>
      </c>
      <c r="H230" t="s">
        <v>43</v>
      </c>
      <c r="I230" t="s">
        <v>36</v>
      </c>
      <c r="J230">
        <v>2</v>
      </c>
      <c r="K230" t="s">
        <v>27</v>
      </c>
      <c r="L230">
        <v>60</v>
      </c>
      <c r="M230" t="s">
        <v>45</v>
      </c>
      <c r="N230">
        <v>20000</v>
      </c>
      <c r="O230">
        <v>5</v>
      </c>
      <c r="P230">
        <v>100000</v>
      </c>
      <c r="Q230">
        <v>136.4</v>
      </c>
      <c r="R230" t="s">
        <v>29</v>
      </c>
      <c r="S230" t="s">
        <v>393</v>
      </c>
      <c r="T230">
        <f t="shared" si="14"/>
        <v>100000</v>
      </c>
      <c r="U230" t="str">
        <f t="shared" si="15"/>
        <v>24+ Months</v>
      </c>
    </row>
    <row r="231" spans="1:21">
      <c r="A231" t="s">
        <v>457</v>
      </c>
      <c r="B231" t="s">
        <v>126</v>
      </c>
      <c r="C231" s="2" t="s">
        <v>268</v>
      </c>
      <c r="D231" s="2" t="str">
        <f t="shared" si="12"/>
        <v>Tunde Smith</v>
      </c>
      <c r="E231">
        <v>36</v>
      </c>
      <c r="F231" s="3" t="str">
        <f t="shared" si="13"/>
        <v>30-39</v>
      </c>
      <c r="G231" t="s">
        <v>151</v>
      </c>
      <c r="H231" t="s">
        <v>51</v>
      </c>
      <c r="I231" t="s">
        <v>36</v>
      </c>
      <c r="J231">
        <v>3</v>
      </c>
      <c r="K231" t="s">
        <v>62</v>
      </c>
      <c r="L231">
        <v>31</v>
      </c>
      <c r="M231" t="s">
        <v>78</v>
      </c>
      <c r="N231">
        <v>24000</v>
      </c>
      <c r="O231">
        <v>2</v>
      </c>
      <c r="P231">
        <v>48000</v>
      </c>
      <c r="Q231">
        <v>147.87</v>
      </c>
      <c r="R231" t="s">
        <v>46</v>
      </c>
      <c r="S231" t="s">
        <v>47</v>
      </c>
      <c r="T231">
        <f t="shared" si="14"/>
        <v>0</v>
      </c>
      <c r="U231" t="str">
        <f t="shared" si="15"/>
        <v>24+ Months</v>
      </c>
    </row>
    <row r="232" spans="1:21">
      <c r="A232" t="s">
        <v>458</v>
      </c>
      <c r="B232" t="s">
        <v>126</v>
      </c>
      <c r="C232" s="2" t="s">
        <v>268</v>
      </c>
      <c r="D232" s="2" t="str">
        <f t="shared" si="12"/>
        <v>Tunde Smith</v>
      </c>
      <c r="E232">
        <v>36</v>
      </c>
      <c r="F232" s="3" t="str">
        <f t="shared" si="13"/>
        <v>30-39</v>
      </c>
      <c r="G232" t="s">
        <v>151</v>
      </c>
      <c r="H232" t="s">
        <v>35</v>
      </c>
      <c r="I232" t="s">
        <v>36</v>
      </c>
      <c r="J232">
        <v>3</v>
      </c>
      <c r="K232" t="s">
        <v>62</v>
      </c>
      <c r="L232">
        <v>31</v>
      </c>
      <c r="M232" t="s">
        <v>227</v>
      </c>
      <c r="N232">
        <v>600</v>
      </c>
      <c r="O232">
        <v>6</v>
      </c>
      <c r="P232">
        <v>3600</v>
      </c>
      <c r="Q232">
        <v>83.87</v>
      </c>
      <c r="R232" t="s">
        <v>46</v>
      </c>
      <c r="S232" t="s">
        <v>47</v>
      </c>
      <c r="T232">
        <f t="shared" si="14"/>
        <v>0</v>
      </c>
      <c r="U232" t="str">
        <f t="shared" si="15"/>
        <v>24+ Months</v>
      </c>
    </row>
    <row r="233" spans="1:21">
      <c r="A233" t="s">
        <v>459</v>
      </c>
      <c r="B233" t="s">
        <v>126</v>
      </c>
      <c r="C233" s="2" t="s">
        <v>268</v>
      </c>
      <c r="D233" s="2" t="str">
        <f t="shared" si="12"/>
        <v>Tunde Smith</v>
      </c>
      <c r="E233">
        <v>36</v>
      </c>
      <c r="F233" s="3" t="str">
        <f t="shared" si="13"/>
        <v>30-39</v>
      </c>
      <c r="G233" t="s">
        <v>151</v>
      </c>
      <c r="H233" t="s">
        <v>43</v>
      </c>
      <c r="I233" t="s">
        <v>36</v>
      </c>
      <c r="J233">
        <v>3</v>
      </c>
      <c r="K233" t="s">
        <v>62</v>
      </c>
      <c r="L233">
        <v>31</v>
      </c>
      <c r="M233" t="s">
        <v>52</v>
      </c>
      <c r="N233">
        <v>9000</v>
      </c>
      <c r="O233">
        <v>13</v>
      </c>
      <c r="P233">
        <v>117000</v>
      </c>
      <c r="Q233">
        <v>199.44</v>
      </c>
      <c r="R233" t="s">
        <v>46</v>
      </c>
      <c r="S233" t="s">
        <v>47</v>
      </c>
      <c r="T233">
        <f t="shared" si="14"/>
        <v>0</v>
      </c>
      <c r="U233" t="str">
        <f t="shared" si="15"/>
        <v>24+ Months</v>
      </c>
    </row>
    <row r="234" spans="1:21">
      <c r="A234" t="s">
        <v>460</v>
      </c>
      <c r="B234" t="s">
        <v>232</v>
      </c>
      <c r="C234" s="2" t="s">
        <v>461</v>
      </c>
      <c r="D234" s="2" t="str">
        <f t="shared" si="12"/>
        <v>Grace Fowler</v>
      </c>
      <c r="E234">
        <v>39</v>
      </c>
      <c r="F234" s="3" t="str">
        <f t="shared" si="13"/>
        <v>30-39</v>
      </c>
      <c r="G234" t="s">
        <v>136</v>
      </c>
      <c r="H234" t="s">
        <v>43</v>
      </c>
      <c r="I234" t="s">
        <v>26</v>
      </c>
      <c r="J234">
        <v>5</v>
      </c>
      <c r="K234" t="s">
        <v>68</v>
      </c>
      <c r="L234">
        <v>1</v>
      </c>
      <c r="M234" t="s">
        <v>71</v>
      </c>
      <c r="N234">
        <v>150000</v>
      </c>
      <c r="O234">
        <v>5</v>
      </c>
      <c r="P234">
        <v>750000</v>
      </c>
      <c r="Q234">
        <v>177.91</v>
      </c>
      <c r="R234" t="s">
        <v>46</v>
      </c>
      <c r="S234" t="s">
        <v>47</v>
      </c>
      <c r="T234">
        <f t="shared" si="14"/>
        <v>0</v>
      </c>
      <c r="U234" t="str">
        <f t="shared" si="15"/>
        <v>0-6 Months</v>
      </c>
    </row>
    <row r="235" spans="1:21">
      <c r="A235" t="s">
        <v>462</v>
      </c>
      <c r="B235" t="s">
        <v>232</v>
      </c>
      <c r="C235" s="2" t="s">
        <v>461</v>
      </c>
      <c r="D235" s="2" t="str">
        <f t="shared" si="12"/>
        <v>Grace Fowler</v>
      </c>
      <c r="E235">
        <v>39</v>
      </c>
      <c r="F235" s="3" t="str">
        <f t="shared" si="13"/>
        <v>30-39</v>
      </c>
      <c r="G235" t="s">
        <v>136</v>
      </c>
      <c r="H235" t="s">
        <v>25</v>
      </c>
      <c r="I235" t="s">
        <v>26</v>
      </c>
      <c r="J235">
        <v>5</v>
      </c>
      <c r="K235" t="s">
        <v>68</v>
      </c>
      <c r="L235">
        <v>1</v>
      </c>
      <c r="M235" t="s">
        <v>28</v>
      </c>
      <c r="N235">
        <v>35000</v>
      </c>
      <c r="O235">
        <v>4</v>
      </c>
      <c r="P235">
        <v>140000</v>
      </c>
      <c r="Q235">
        <v>54.93</v>
      </c>
      <c r="R235" t="s">
        <v>46</v>
      </c>
      <c r="S235" t="s">
        <v>47</v>
      </c>
      <c r="T235">
        <f t="shared" si="14"/>
        <v>0</v>
      </c>
      <c r="U235" t="str">
        <f t="shared" si="15"/>
        <v>0-6 Months</v>
      </c>
    </row>
    <row r="236" spans="1:21">
      <c r="A236" t="s">
        <v>463</v>
      </c>
      <c r="B236" t="s">
        <v>249</v>
      </c>
      <c r="C236" s="2" t="s">
        <v>464</v>
      </c>
      <c r="D236" s="2" t="str">
        <f t="shared" si="12"/>
        <v>Tega Chen</v>
      </c>
      <c r="E236">
        <v>36</v>
      </c>
      <c r="F236" s="3" t="str">
        <f t="shared" si="13"/>
        <v>30-39</v>
      </c>
      <c r="G236" t="s">
        <v>42</v>
      </c>
      <c r="H236" t="s">
        <v>25</v>
      </c>
      <c r="I236" t="s">
        <v>36</v>
      </c>
      <c r="J236">
        <v>1</v>
      </c>
      <c r="K236" t="s">
        <v>44</v>
      </c>
      <c r="L236">
        <v>46</v>
      </c>
      <c r="M236" t="s">
        <v>28</v>
      </c>
      <c r="N236">
        <v>35000</v>
      </c>
      <c r="O236">
        <v>17</v>
      </c>
      <c r="P236">
        <v>595000</v>
      </c>
      <c r="Q236">
        <v>165.48</v>
      </c>
      <c r="R236" t="s">
        <v>46</v>
      </c>
      <c r="S236" t="s">
        <v>47</v>
      </c>
      <c r="T236">
        <f t="shared" si="14"/>
        <v>0</v>
      </c>
      <c r="U236" t="str">
        <f t="shared" si="15"/>
        <v>24+ Months</v>
      </c>
    </row>
    <row r="237" spans="1:21">
      <c r="A237" t="s">
        <v>465</v>
      </c>
      <c r="B237" t="s">
        <v>249</v>
      </c>
      <c r="C237" s="2" t="s">
        <v>464</v>
      </c>
      <c r="D237" s="2" t="str">
        <f t="shared" si="12"/>
        <v>Tega Chen</v>
      </c>
      <c r="E237">
        <v>36</v>
      </c>
      <c r="F237" s="3" t="str">
        <f t="shared" si="13"/>
        <v>30-39</v>
      </c>
      <c r="G237" t="s">
        <v>42</v>
      </c>
      <c r="H237" t="s">
        <v>51</v>
      </c>
      <c r="I237" t="s">
        <v>36</v>
      </c>
      <c r="J237">
        <v>1</v>
      </c>
      <c r="K237" t="s">
        <v>44</v>
      </c>
      <c r="L237">
        <v>46</v>
      </c>
      <c r="M237" t="s">
        <v>82</v>
      </c>
      <c r="N237">
        <v>30000</v>
      </c>
      <c r="O237">
        <v>4</v>
      </c>
      <c r="P237">
        <v>120000</v>
      </c>
      <c r="Q237">
        <v>17.8</v>
      </c>
      <c r="R237" t="s">
        <v>46</v>
      </c>
      <c r="S237" t="s">
        <v>47</v>
      </c>
      <c r="T237">
        <f t="shared" si="14"/>
        <v>0</v>
      </c>
      <c r="U237" t="str">
        <f t="shared" si="15"/>
        <v>24+ Months</v>
      </c>
    </row>
    <row r="238" spans="1:21" hidden="1">
      <c r="A238" t="s">
        <v>466</v>
      </c>
      <c r="B238" t="s">
        <v>149</v>
      </c>
      <c r="C238" s="2" t="s">
        <v>467</v>
      </c>
      <c r="D238" s="2" t="str">
        <f t="shared" si="12"/>
        <v>Shehu Nguyen</v>
      </c>
      <c r="E238">
        <v>33</v>
      </c>
      <c r="F238" s="3" t="str">
        <f t="shared" si="13"/>
        <v>30-39</v>
      </c>
      <c r="G238" t="s">
        <v>292</v>
      </c>
      <c r="H238" t="s">
        <v>43</v>
      </c>
      <c r="I238" t="s">
        <v>36</v>
      </c>
      <c r="J238">
        <v>1</v>
      </c>
      <c r="K238" t="s">
        <v>44</v>
      </c>
      <c r="L238">
        <v>60</v>
      </c>
      <c r="M238" t="s">
        <v>78</v>
      </c>
      <c r="N238">
        <v>24000</v>
      </c>
      <c r="O238">
        <v>19</v>
      </c>
      <c r="P238">
        <v>456000</v>
      </c>
      <c r="Q238">
        <v>116.7</v>
      </c>
      <c r="R238" t="s">
        <v>29</v>
      </c>
      <c r="S238" t="s">
        <v>362</v>
      </c>
      <c r="T238">
        <f t="shared" si="14"/>
        <v>456000</v>
      </c>
      <c r="U238" t="str">
        <f t="shared" si="15"/>
        <v>24+ Months</v>
      </c>
    </row>
    <row r="239" spans="1:21" hidden="1">
      <c r="A239" t="s">
        <v>468</v>
      </c>
      <c r="B239" t="s">
        <v>149</v>
      </c>
      <c r="C239" s="2" t="s">
        <v>467</v>
      </c>
      <c r="D239" s="2" t="str">
        <f t="shared" si="12"/>
        <v>Shehu Nguyen</v>
      </c>
      <c r="E239">
        <v>33</v>
      </c>
      <c r="F239" s="3" t="str">
        <f t="shared" si="13"/>
        <v>30-39</v>
      </c>
      <c r="G239" t="s">
        <v>292</v>
      </c>
      <c r="H239" t="s">
        <v>25</v>
      </c>
      <c r="I239" t="s">
        <v>36</v>
      </c>
      <c r="J239">
        <v>1</v>
      </c>
      <c r="K239" t="s">
        <v>44</v>
      </c>
      <c r="L239">
        <v>60</v>
      </c>
      <c r="M239" t="s">
        <v>73</v>
      </c>
      <c r="N239">
        <v>16000</v>
      </c>
      <c r="O239">
        <v>12</v>
      </c>
      <c r="P239">
        <v>192000</v>
      </c>
      <c r="Q239">
        <v>52.68</v>
      </c>
      <c r="R239" t="s">
        <v>29</v>
      </c>
      <c r="S239" t="s">
        <v>362</v>
      </c>
      <c r="T239">
        <f t="shared" si="14"/>
        <v>192000</v>
      </c>
      <c r="U239" t="str">
        <f t="shared" si="15"/>
        <v>24+ Months</v>
      </c>
    </row>
    <row r="240" spans="1:21">
      <c r="A240" t="s">
        <v>469</v>
      </c>
      <c r="B240" t="s">
        <v>87</v>
      </c>
      <c r="C240" s="2" t="s">
        <v>470</v>
      </c>
      <c r="D240" s="2" t="str">
        <f t="shared" si="12"/>
        <v>Halima Aguilar</v>
      </c>
      <c r="E240">
        <v>23</v>
      </c>
      <c r="F240" s="3" t="str">
        <f t="shared" si="13"/>
        <v>20-29</v>
      </c>
      <c r="G240" t="s">
        <v>240</v>
      </c>
      <c r="H240" t="s">
        <v>43</v>
      </c>
      <c r="I240" t="s">
        <v>36</v>
      </c>
      <c r="J240">
        <v>4</v>
      </c>
      <c r="K240" t="s">
        <v>155</v>
      </c>
      <c r="L240">
        <v>20</v>
      </c>
      <c r="M240" t="s">
        <v>78</v>
      </c>
      <c r="N240">
        <v>24000</v>
      </c>
      <c r="O240">
        <v>8</v>
      </c>
      <c r="P240">
        <v>192000</v>
      </c>
      <c r="Q240">
        <v>73.83</v>
      </c>
      <c r="R240" t="s">
        <v>46</v>
      </c>
      <c r="S240" t="s">
        <v>47</v>
      </c>
      <c r="T240">
        <f t="shared" si="14"/>
        <v>0</v>
      </c>
      <c r="U240" t="str">
        <f t="shared" si="15"/>
        <v>13-24 Months</v>
      </c>
    </row>
    <row r="241" spans="1:21">
      <c r="A241" t="s">
        <v>471</v>
      </c>
      <c r="B241" t="s">
        <v>87</v>
      </c>
      <c r="C241" s="2" t="s">
        <v>470</v>
      </c>
      <c r="D241" s="2" t="str">
        <f t="shared" si="12"/>
        <v>Halima Aguilar</v>
      </c>
      <c r="E241">
        <v>23</v>
      </c>
      <c r="F241" s="3" t="str">
        <f t="shared" si="13"/>
        <v>20-29</v>
      </c>
      <c r="G241" t="s">
        <v>240</v>
      </c>
      <c r="H241" t="s">
        <v>35</v>
      </c>
      <c r="I241" t="s">
        <v>36</v>
      </c>
      <c r="J241">
        <v>4</v>
      </c>
      <c r="K241" t="s">
        <v>155</v>
      </c>
      <c r="L241">
        <v>20</v>
      </c>
      <c r="M241" t="s">
        <v>93</v>
      </c>
      <c r="N241">
        <v>350</v>
      </c>
      <c r="O241">
        <v>16</v>
      </c>
      <c r="P241">
        <v>5600</v>
      </c>
      <c r="Q241">
        <v>191.49</v>
      </c>
      <c r="R241" t="s">
        <v>46</v>
      </c>
      <c r="S241" t="s">
        <v>47</v>
      </c>
      <c r="T241">
        <f t="shared" si="14"/>
        <v>0</v>
      </c>
      <c r="U241" t="str">
        <f t="shared" si="15"/>
        <v>13-24 Months</v>
      </c>
    </row>
    <row r="242" spans="1:21">
      <c r="A242" t="s">
        <v>472</v>
      </c>
      <c r="B242" t="s">
        <v>87</v>
      </c>
      <c r="C242" s="2" t="s">
        <v>470</v>
      </c>
      <c r="D242" s="2" t="str">
        <f t="shared" si="12"/>
        <v>Halima Aguilar</v>
      </c>
      <c r="E242">
        <v>23</v>
      </c>
      <c r="F242" s="3" t="str">
        <f t="shared" si="13"/>
        <v>20-29</v>
      </c>
      <c r="G242" t="s">
        <v>240</v>
      </c>
      <c r="H242" t="s">
        <v>51</v>
      </c>
      <c r="I242" t="s">
        <v>36</v>
      </c>
      <c r="J242">
        <v>4</v>
      </c>
      <c r="K242" t="s">
        <v>155</v>
      </c>
      <c r="L242">
        <v>20</v>
      </c>
      <c r="M242" t="s">
        <v>45</v>
      </c>
      <c r="N242">
        <v>20000</v>
      </c>
      <c r="O242">
        <v>20</v>
      </c>
      <c r="P242">
        <v>400000</v>
      </c>
      <c r="Q242">
        <v>91.27</v>
      </c>
      <c r="R242" t="s">
        <v>46</v>
      </c>
      <c r="S242" t="s">
        <v>47</v>
      </c>
      <c r="T242">
        <f t="shared" si="14"/>
        <v>0</v>
      </c>
      <c r="U242" t="str">
        <f t="shared" si="15"/>
        <v>13-24 Months</v>
      </c>
    </row>
    <row r="243" spans="1:21">
      <c r="A243" t="s">
        <v>473</v>
      </c>
      <c r="B243" t="s">
        <v>54</v>
      </c>
      <c r="C243" s="2" t="s">
        <v>474</v>
      </c>
      <c r="D243" s="2" t="str">
        <f t="shared" si="12"/>
        <v>Ejiro Ware</v>
      </c>
      <c r="E243">
        <v>69</v>
      </c>
      <c r="F243" s="3" t="str">
        <f t="shared" si="13"/>
        <v>60-69</v>
      </c>
      <c r="G243" t="s">
        <v>292</v>
      </c>
      <c r="H243" t="s">
        <v>35</v>
      </c>
      <c r="I243" t="s">
        <v>26</v>
      </c>
      <c r="J243">
        <v>5</v>
      </c>
      <c r="K243" t="s">
        <v>68</v>
      </c>
      <c r="L243">
        <v>49</v>
      </c>
      <c r="M243" t="s">
        <v>264</v>
      </c>
      <c r="N243">
        <v>6500</v>
      </c>
      <c r="O243">
        <v>3</v>
      </c>
      <c r="P243">
        <v>19500</v>
      </c>
      <c r="Q243">
        <v>140.9</v>
      </c>
      <c r="R243" t="s">
        <v>46</v>
      </c>
      <c r="S243" t="s">
        <v>47</v>
      </c>
      <c r="T243">
        <f t="shared" si="14"/>
        <v>0</v>
      </c>
      <c r="U243" t="str">
        <f t="shared" si="15"/>
        <v>24+ Months</v>
      </c>
    </row>
    <row r="244" spans="1:21">
      <c r="A244" t="s">
        <v>475</v>
      </c>
      <c r="B244" t="s">
        <v>80</v>
      </c>
      <c r="C244" s="2" t="s">
        <v>476</v>
      </c>
      <c r="D244" s="2" t="str">
        <f t="shared" si="12"/>
        <v>Ifeanyi Clayton</v>
      </c>
      <c r="E244">
        <v>23</v>
      </c>
      <c r="F244" s="3" t="str">
        <f t="shared" si="13"/>
        <v>20-29</v>
      </c>
      <c r="G244" t="s">
        <v>260</v>
      </c>
      <c r="H244" t="s">
        <v>35</v>
      </c>
      <c r="I244" t="s">
        <v>26</v>
      </c>
      <c r="J244">
        <v>2</v>
      </c>
      <c r="K244" t="s">
        <v>27</v>
      </c>
      <c r="L244">
        <v>37</v>
      </c>
      <c r="M244" t="s">
        <v>37</v>
      </c>
      <c r="N244">
        <v>5500</v>
      </c>
      <c r="O244">
        <v>17</v>
      </c>
      <c r="P244">
        <v>93500</v>
      </c>
      <c r="Q244">
        <v>18.64</v>
      </c>
      <c r="R244" t="s">
        <v>46</v>
      </c>
      <c r="S244" t="s">
        <v>47</v>
      </c>
      <c r="T244">
        <f t="shared" si="14"/>
        <v>0</v>
      </c>
      <c r="U244" t="str">
        <f t="shared" si="15"/>
        <v>24+ Months</v>
      </c>
    </row>
    <row r="245" spans="1:21">
      <c r="A245" t="s">
        <v>477</v>
      </c>
      <c r="B245" t="s">
        <v>80</v>
      </c>
      <c r="C245" s="2" t="s">
        <v>476</v>
      </c>
      <c r="D245" s="2" t="str">
        <f t="shared" si="12"/>
        <v>Ifeanyi Clayton</v>
      </c>
      <c r="E245">
        <v>23</v>
      </c>
      <c r="F245" s="3" t="str">
        <f t="shared" si="13"/>
        <v>20-29</v>
      </c>
      <c r="G245" t="s">
        <v>260</v>
      </c>
      <c r="H245" t="s">
        <v>51</v>
      </c>
      <c r="I245" t="s">
        <v>26</v>
      </c>
      <c r="J245">
        <v>2</v>
      </c>
      <c r="K245" t="s">
        <v>27</v>
      </c>
      <c r="L245">
        <v>37</v>
      </c>
      <c r="M245" t="s">
        <v>91</v>
      </c>
      <c r="N245">
        <v>14500</v>
      </c>
      <c r="O245">
        <v>15</v>
      </c>
      <c r="P245">
        <v>217500</v>
      </c>
      <c r="Q245">
        <v>161.83000000000001</v>
      </c>
      <c r="R245" t="s">
        <v>46</v>
      </c>
      <c r="S245" t="s">
        <v>47</v>
      </c>
      <c r="T245">
        <f t="shared" si="14"/>
        <v>0</v>
      </c>
      <c r="U245" t="str">
        <f t="shared" si="15"/>
        <v>24+ Months</v>
      </c>
    </row>
    <row r="246" spans="1:21">
      <c r="A246" t="s">
        <v>478</v>
      </c>
      <c r="B246" t="s">
        <v>80</v>
      </c>
      <c r="C246" s="2" t="s">
        <v>476</v>
      </c>
      <c r="D246" s="2" t="str">
        <f t="shared" si="12"/>
        <v>Ifeanyi Clayton</v>
      </c>
      <c r="E246">
        <v>23</v>
      </c>
      <c r="F246" s="3" t="str">
        <f t="shared" si="13"/>
        <v>20-29</v>
      </c>
      <c r="G246" t="s">
        <v>260</v>
      </c>
      <c r="H246" t="s">
        <v>43</v>
      </c>
      <c r="I246" t="s">
        <v>26</v>
      </c>
      <c r="J246">
        <v>2</v>
      </c>
      <c r="K246" t="s">
        <v>27</v>
      </c>
      <c r="L246">
        <v>37</v>
      </c>
      <c r="M246" t="s">
        <v>82</v>
      </c>
      <c r="N246">
        <v>30000</v>
      </c>
      <c r="O246">
        <v>15</v>
      </c>
      <c r="P246">
        <v>450000</v>
      </c>
      <c r="Q246">
        <v>102.89</v>
      </c>
      <c r="R246" t="s">
        <v>46</v>
      </c>
      <c r="S246" t="s">
        <v>47</v>
      </c>
      <c r="T246">
        <f t="shared" si="14"/>
        <v>0</v>
      </c>
      <c r="U246" t="str">
        <f t="shared" si="15"/>
        <v>24+ Months</v>
      </c>
    </row>
    <row r="247" spans="1:21">
      <c r="A247" t="s">
        <v>479</v>
      </c>
      <c r="B247" t="s">
        <v>447</v>
      </c>
      <c r="C247" s="2" t="s">
        <v>23</v>
      </c>
      <c r="D247" s="2" t="str">
        <f t="shared" si="12"/>
        <v>Sade Berry</v>
      </c>
      <c r="E247">
        <v>75</v>
      </c>
      <c r="F247" s="3" t="str">
        <f t="shared" si="13"/>
        <v>70-79</v>
      </c>
      <c r="G247" t="s">
        <v>206</v>
      </c>
      <c r="H247" t="s">
        <v>51</v>
      </c>
      <c r="I247" t="s">
        <v>26</v>
      </c>
      <c r="J247">
        <v>1</v>
      </c>
      <c r="K247" t="s">
        <v>44</v>
      </c>
      <c r="L247">
        <v>26</v>
      </c>
      <c r="M247" t="s">
        <v>82</v>
      </c>
      <c r="N247">
        <v>30000</v>
      </c>
      <c r="O247">
        <v>18</v>
      </c>
      <c r="P247">
        <v>540000</v>
      </c>
      <c r="Q247">
        <v>140.22999999999999</v>
      </c>
      <c r="R247" t="s">
        <v>46</v>
      </c>
      <c r="S247" t="s">
        <v>47</v>
      </c>
      <c r="T247">
        <f t="shared" si="14"/>
        <v>0</v>
      </c>
      <c r="U247" t="str">
        <f t="shared" si="15"/>
        <v>24+ Months</v>
      </c>
    </row>
    <row r="248" spans="1:21">
      <c r="A248" t="s">
        <v>480</v>
      </c>
      <c r="B248" t="s">
        <v>447</v>
      </c>
      <c r="C248" s="2" t="s">
        <v>23</v>
      </c>
      <c r="D248" s="2" t="str">
        <f t="shared" si="12"/>
        <v>Sade Berry</v>
      </c>
      <c r="E248">
        <v>75</v>
      </c>
      <c r="F248" s="3" t="str">
        <f t="shared" si="13"/>
        <v>70-79</v>
      </c>
      <c r="G248" t="s">
        <v>206</v>
      </c>
      <c r="H248" t="s">
        <v>35</v>
      </c>
      <c r="I248" t="s">
        <v>26</v>
      </c>
      <c r="J248">
        <v>1</v>
      </c>
      <c r="K248" t="s">
        <v>44</v>
      </c>
      <c r="L248">
        <v>26</v>
      </c>
      <c r="M248" t="s">
        <v>137</v>
      </c>
      <c r="N248">
        <v>900</v>
      </c>
      <c r="O248">
        <v>3</v>
      </c>
      <c r="P248">
        <v>2700</v>
      </c>
      <c r="Q248">
        <v>186.95</v>
      </c>
      <c r="R248" t="s">
        <v>46</v>
      </c>
      <c r="S248" t="s">
        <v>47</v>
      </c>
      <c r="T248">
        <f t="shared" si="14"/>
        <v>0</v>
      </c>
      <c r="U248" t="str">
        <f t="shared" si="15"/>
        <v>24+ Months</v>
      </c>
    </row>
    <row r="249" spans="1:21">
      <c r="A249" t="s">
        <v>481</v>
      </c>
      <c r="B249" t="s">
        <v>447</v>
      </c>
      <c r="C249" s="2" t="s">
        <v>23</v>
      </c>
      <c r="D249" s="2" t="str">
        <f t="shared" si="12"/>
        <v>Sade Berry</v>
      </c>
      <c r="E249">
        <v>75</v>
      </c>
      <c r="F249" s="3" t="str">
        <f t="shared" si="13"/>
        <v>70-79</v>
      </c>
      <c r="G249" t="s">
        <v>206</v>
      </c>
      <c r="H249" t="s">
        <v>35</v>
      </c>
      <c r="I249" t="s">
        <v>26</v>
      </c>
      <c r="J249">
        <v>1</v>
      </c>
      <c r="K249" t="s">
        <v>44</v>
      </c>
      <c r="L249">
        <v>26</v>
      </c>
      <c r="M249" t="s">
        <v>28</v>
      </c>
      <c r="N249">
        <v>35000</v>
      </c>
      <c r="O249">
        <v>14</v>
      </c>
      <c r="P249">
        <v>490000</v>
      </c>
      <c r="Q249">
        <v>6.83</v>
      </c>
      <c r="R249" t="s">
        <v>46</v>
      </c>
      <c r="S249" t="s">
        <v>47</v>
      </c>
      <c r="T249">
        <f t="shared" si="14"/>
        <v>0</v>
      </c>
      <c r="U249" t="str">
        <f t="shared" si="15"/>
        <v>24+ Months</v>
      </c>
    </row>
    <row r="250" spans="1:21">
      <c r="A250" t="s">
        <v>482</v>
      </c>
      <c r="B250" t="s">
        <v>149</v>
      </c>
      <c r="C250" s="2" t="s">
        <v>483</v>
      </c>
      <c r="D250" s="2" t="str">
        <f t="shared" si="12"/>
        <v>Shehu Lee</v>
      </c>
      <c r="E250">
        <v>33</v>
      </c>
      <c r="F250" s="3" t="str">
        <f t="shared" si="13"/>
        <v>30-39</v>
      </c>
      <c r="G250" t="s">
        <v>151</v>
      </c>
      <c r="H250" t="s">
        <v>35</v>
      </c>
      <c r="I250" t="s">
        <v>36</v>
      </c>
      <c r="J250">
        <v>4</v>
      </c>
      <c r="K250" t="s">
        <v>155</v>
      </c>
      <c r="L250">
        <v>58</v>
      </c>
      <c r="M250" t="s">
        <v>264</v>
      </c>
      <c r="N250">
        <v>6500</v>
      </c>
      <c r="O250">
        <v>12</v>
      </c>
      <c r="P250">
        <v>78000</v>
      </c>
      <c r="Q250">
        <v>27.03</v>
      </c>
      <c r="R250" t="s">
        <v>46</v>
      </c>
      <c r="S250" t="s">
        <v>47</v>
      </c>
      <c r="T250">
        <f t="shared" si="14"/>
        <v>0</v>
      </c>
      <c r="U250" t="str">
        <f t="shared" si="15"/>
        <v>24+ Months</v>
      </c>
    </row>
    <row r="251" spans="1:21">
      <c r="A251" t="s">
        <v>484</v>
      </c>
      <c r="B251" t="s">
        <v>149</v>
      </c>
      <c r="C251" s="2" t="s">
        <v>483</v>
      </c>
      <c r="D251" s="2" t="str">
        <f t="shared" si="12"/>
        <v>Shehu Lee</v>
      </c>
      <c r="E251">
        <v>33</v>
      </c>
      <c r="F251" s="3" t="str">
        <f t="shared" si="13"/>
        <v>30-39</v>
      </c>
      <c r="G251" t="s">
        <v>151</v>
      </c>
      <c r="H251" t="s">
        <v>51</v>
      </c>
      <c r="I251" t="s">
        <v>36</v>
      </c>
      <c r="J251">
        <v>4</v>
      </c>
      <c r="K251" t="s">
        <v>155</v>
      </c>
      <c r="L251">
        <v>58</v>
      </c>
      <c r="M251" t="s">
        <v>52</v>
      </c>
      <c r="N251">
        <v>9000</v>
      </c>
      <c r="O251">
        <v>18</v>
      </c>
      <c r="P251">
        <v>162000</v>
      </c>
      <c r="Q251">
        <v>36.11</v>
      </c>
      <c r="R251" t="s">
        <v>46</v>
      </c>
      <c r="S251" t="s">
        <v>47</v>
      </c>
      <c r="T251">
        <f t="shared" si="14"/>
        <v>0</v>
      </c>
      <c r="U251" t="str">
        <f t="shared" si="15"/>
        <v>24+ Months</v>
      </c>
    </row>
    <row r="252" spans="1:21">
      <c r="A252" t="s">
        <v>485</v>
      </c>
      <c r="B252" t="s">
        <v>65</v>
      </c>
      <c r="C252" s="2" t="s">
        <v>486</v>
      </c>
      <c r="D252" s="2" t="str">
        <f t="shared" si="12"/>
        <v>Tamuno Greer</v>
      </c>
      <c r="E252">
        <v>32</v>
      </c>
      <c r="F252" s="3" t="str">
        <f t="shared" si="13"/>
        <v>30-39</v>
      </c>
      <c r="G252" t="s">
        <v>154</v>
      </c>
      <c r="H252" t="s">
        <v>35</v>
      </c>
      <c r="I252" t="s">
        <v>26</v>
      </c>
      <c r="J252">
        <v>3</v>
      </c>
      <c r="K252" t="s">
        <v>62</v>
      </c>
      <c r="L252">
        <v>49</v>
      </c>
      <c r="M252" t="s">
        <v>93</v>
      </c>
      <c r="N252">
        <v>350</v>
      </c>
      <c r="O252">
        <v>12</v>
      </c>
      <c r="P252">
        <v>4200</v>
      </c>
      <c r="Q252">
        <v>49.88</v>
      </c>
      <c r="R252" t="s">
        <v>46</v>
      </c>
      <c r="S252" t="s">
        <v>47</v>
      </c>
      <c r="T252">
        <f t="shared" si="14"/>
        <v>0</v>
      </c>
      <c r="U252" t="str">
        <f t="shared" si="15"/>
        <v>24+ Months</v>
      </c>
    </row>
    <row r="253" spans="1:21">
      <c r="A253" t="s">
        <v>487</v>
      </c>
      <c r="B253" t="s">
        <v>65</v>
      </c>
      <c r="C253" s="2" t="s">
        <v>486</v>
      </c>
      <c r="D253" s="2" t="str">
        <f t="shared" si="12"/>
        <v>Tamuno Greer</v>
      </c>
      <c r="E253">
        <v>32</v>
      </c>
      <c r="F253" s="3" t="str">
        <f t="shared" si="13"/>
        <v>30-39</v>
      </c>
      <c r="G253" t="s">
        <v>154</v>
      </c>
      <c r="H253" t="s">
        <v>43</v>
      </c>
      <c r="I253" t="s">
        <v>26</v>
      </c>
      <c r="J253">
        <v>3</v>
      </c>
      <c r="K253" t="s">
        <v>62</v>
      </c>
      <c r="L253">
        <v>49</v>
      </c>
      <c r="M253" t="s">
        <v>82</v>
      </c>
      <c r="N253">
        <v>30000</v>
      </c>
      <c r="O253">
        <v>4</v>
      </c>
      <c r="P253">
        <v>120000</v>
      </c>
      <c r="Q253">
        <v>55.49</v>
      </c>
      <c r="R253" t="s">
        <v>46</v>
      </c>
      <c r="S253" t="s">
        <v>47</v>
      </c>
      <c r="T253">
        <f t="shared" si="14"/>
        <v>0</v>
      </c>
      <c r="U253" t="str">
        <f t="shared" si="15"/>
        <v>24+ Months</v>
      </c>
    </row>
    <row r="254" spans="1:21">
      <c r="A254" t="s">
        <v>488</v>
      </c>
      <c r="B254" t="s">
        <v>65</v>
      </c>
      <c r="C254" s="2" t="s">
        <v>486</v>
      </c>
      <c r="D254" s="2" t="str">
        <f t="shared" si="12"/>
        <v>Tamuno Greer</v>
      </c>
      <c r="E254">
        <v>32</v>
      </c>
      <c r="F254" s="3" t="str">
        <f t="shared" si="13"/>
        <v>30-39</v>
      </c>
      <c r="G254" t="s">
        <v>154</v>
      </c>
      <c r="H254" t="s">
        <v>25</v>
      </c>
      <c r="I254" t="s">
        <v>26</v>
      </c>
      <c r="J254">
        <v>3</v>
      </c>
      <c r="K254" t="s">
        <v>62</v>
      </c>
      <c r="L254">
        <v>49</v>
      </c>
      <c r="M254" t="s">
        <v>73</v>
      </c>
      <c r="N254">
        <v>16000</v>
      </c>
      <c r="O254">
        <v>14</v>
      </c>
      <c r="P254">
        <v>224000</v>
      </c>
      <c r="Q254">
        <v>161.99</v>
      </c>
      <c r="R254" t="s">
        <v>46</v>
      </c>
      <c r="S254" t="s">
        <v>47</v>
      </c>
      <c r="T254">
        <f t="shared" si="14"/>
        <v>0</v>
      </c>
      <c r="U254" t="str">
        <f t="shared" si="15"/>
        <v>24+ Months</v>
      </c>
    </row>
    <row r="255" spans="1:21">
      <c r="A255" t="s">
        <v>489</v>
      </c>
      <c r="B255" t="s">
        <v>490</v>
      </c>
      <c r="C255" s="2" t="s">
        <v>491</v>
      </c>
      <c r="D255" s="2" t="str">
        <f t="shared" si="12"/>
        <v>Funke Hart</v>
      </c>
      <c r="E255">
        <v>46</v>
      </c>
      <c r="F255" s="3" t="str">
        <f t="shared" si="13"/>
        <v>40-49</v>
      </c>
      <c r="G255" t="s">
        <v>102</v>
      </c>
      <c r="H255" t="s">
        <v>51</v>
      </c>
      <c r="I255" t="s">
        <v>26</v>
      </c>
      <c r="J255">
        <v>4</v>
      </c>
      <c r="K255" t="s">
        <v>155</v>
      </c>
      <c r="L255">
        <v>7</v>
      </c>
      <c r="M255" t="s">
        <v>91</v>
      </c>
      <c r="N255">
        <v>14500</v>
      </c>
      <c r="O255">
        <v>18</v>
      </c>
      <c r="P255">
        <v>261000</v>
      </c>
      <c r="Q255">
        <v>88.07</v>
      </c>
      <c r="R255" t="s">
        <v>46</v>
      </c>
      <c r="S255" t="s">
        <v>47</v>
      </c>
      <c r="T255">
        <f t="shared" si="14"/>
        <v>0</v>
      </c>
      <c r="U255" t="str">
        <f t="shared" si="15"/>
        <v>7-12 Months</v>
      </c>
    </row>
    <row r="256" spans="1:21">
      <c r="A256" t="s">
        <v>492</v>
      </c>
      <c r="B256" t="s">
        <v>490</v>
      </c>
      <c r="C256" s="2" t="s">
        <v>491</v>
      </c>
      <c r="D256" s="2" t="str">
        <f t="shared" si="12"/>
        <v>Funke Hart</v>
      </c>
      <c r="E256">
        <v>46</v>
      </c>
      <c r="F256" s="3" t="str">
        <f t="shared" si="13"/>
        <v>40-49</v>
      </c>
      <c r="G256" t="s">
        <v>102</v>
      </c>
      <c r="H256" t="s">
        <v>35</v>
      </c>
      <c r="I256" t="s">
        <v>26</v>
      </c>
      <c r="J256">
        <v>4</v>
      </c>
      <c r="K256" t="s">
        <v>155</v>
      </c>
      <c r="L256">
        <v>7</v>
      </c>
      <c r="M256" t="s">
        <v>93</v>
      </c>
      <c r="N256">
        <v>350</v>
      </c>
      <c r="O256">
        <v>2</v>
      </c>
      <c r="P256">
        <v>700</v>
      </c>
      <c r="Q256">
        <v>151</v>
      </c>
      <c r="R256" t="s">
        <v>46</v>
      </c>
      <c r="S256" t="s">
        <v>47</v>
      </c>
      <c r="T256">
        <f t="shared" si="14"/>
        <v>0</v>
      </c>
      <c r="U256" t="str">
        <f t="shared" si="15"/>
        <v>7-12 Months</v>
      </c>
    </row>
    <row r="257" spans="1:21">
      <c r="A257" t="s">
        <v>493</v>
      </c>
      <c r="B257" t="s">
        <v>490</v>
      </c>
      <c r="C257" s="2" t="s">
        <v>491</v>
      </c>
      <c r="D257" s="2" t="str">
        <f t="shared" si="12"/>
        <v>Funke Hart</v>
      </c>
      <c r="E257">
        <v>46</v>
      </c>
      <c r="F257" s="3" t="str">
        <f t="shared" si="13"/>
        <v>40-49</v>
      </c>
      <c r="G257" t="s">
        <v>102</v>
      </c>
      <c r="H257" t="s">
        <v>43</v>
      </c>
      <c r="I257" t="s">
        <v>26</v>
      </c>
      <c r="J257">
        <v>4</v>
      </c>
      <c r="K257" t="s">
        <v>155</v>
      </c>
      <c r="L257">
        <v>7</v>
      </c>
      <c r="M257" t="s">
        <v>82</v>
      </c>
      <c r="N257">
        <v>30000</v>
      </c>
      <c r="O257">
        <v>10</v>
      </c>
      <c r="P257">
        <v>300000</v>
      </c>
      <c r="Q257">
        <v>101.03</v>
      </c>
      <c r="R257" t="s">
        <v>46</v>
      </c>
      <c r="S257" t="s">
        <v>47</v>
      </c>
      <c r="T257">
        <f t="shared" si="14"/>
        <v>0</v>
      </c>
      <c r="U257" t="str">
        <f t="shared" si="15"/>
        <v>7-12 Months</v>
      </c>
    </row>
    <row r="258" spans="1:21" hidden="1">
      <c r="A258" t="s">
        <v>494</v>
      </c>
      <c r="B258" t="s">
        <v>59</v>
      </c>
      <c r="C258" s="2" t="s">
        <v>495</v>
      </c>
      <c r="D258" s="2" t="str">
        <f t="shared" si="12"/>
        <v>Nura Yang</v>
      </c>
      <c r="E258">
        <v>56</v>
      </c>
      <c r="F258" s="3" t="str">
        <f t="shared" si="13"/>
        <v>50-59</v>
      </c>
      <c r="G258" t="s">
        <v>353</v>
      </c>
      <c r="H258" t="s">
        <v>51</v>
      </c>
      <c r="I258" t="s">
        <v>26</v>
      </c>
      <c r="J258">
        <v>5</v>
      </c>
      <c r="K258" t="s">
        <v>68</v>
      </c>
      <c r="L258">
        <v>20</v>
      </c>
      <c r="M258" t="s">
        <v>78</v>
      </c>
      <c r="N258">
        <v>24000</v>
      </c>
      <c r="O258">
        <v>6</v>
      </c>
      <c r="P258">
        <v>144000</v>
      </c>
      <c r="Q258">
        <v>176</v>
      </c>
      <c r="R258" t="s">
        <v>29</v>
      </c>
      <c r="S258" t="s">
        <v>129</v>
      </c>
      <c r="T258">
        <f t="shared" si="14"/>
        <v>144000</v>
      </c>
      <c r="U258" t="str">
        <f t="shared" si="15"/>
        <v>13-24 Months</v>
      </c>
    </row>
    <row r="259" spans="1:21" hidden="1">
      <c r="A259" t="s">
        <v>496</v>
      </c>
      <c r="B259" t="s">
        <v>59</v>
      </c>
      <c r="C259" s="2" t="s">
        <v>495</v>
      </c>
      <c r="D259" s="2" t="str">
        <f t="shared" ref="D259:D322" si="16">B259&amp;" "&amp;C259</f>
        <v>Nura Yang</v>
      </c>
      <c r="E259">
        <v>56</v>
      </c>
      <c r="F259" s="3" t="str">
        <f t="shared" ref="F259:F322" si="17">FLOOR(E259, 10)&amp;"-"&amp;FLOOR(E259, 10)+9</f>
        <v>50-59</v>
      </c>
      <c r="G259" t="s">
        <v>353</v>
      </c>
      <c r="H259" t="s">
        <v>43</v>
      </c>
      <c r="I259" t="s">
        <v>26</v>
      </c>
      <c r="J259">
        <v>5</v>
      </c>
      <c r="K259" t="s">
        <v>68</v>
      </c>
      <c r="L259">
        <v>20</v>
      </c>
      <c r="M259" t="s">
        <v>143</v>
      </c>
      <c r="N259">
        <v>75000</v>
      </c>
      <c r="O259">
        <v>2</v>
      </c>
      <c r="P259">
        <v>150000</v>
      </c>
      <c r="Q259">
        <v>111.39</v>
      </c>
      <c r="R259" t="s">
        <v>29</v>
      </c>
      <c r="S259" t="s">
        <v>129</v>
      </c>
      <c r="T259">
        <f t="shared" ref="T259:T322" si="18">IF(R259="Yes",P259,0)</f>
        <v>150000</v>
      </c>
      <c r="U259" t="str">
        <f t="shared" ref="U259:U322" si="19">IF(L259&lt;=6,"0-6 Months",
IF(L259&lt;=12,"7-12 Months",
IF(L259&lt;=24,"13-24 Months","24+ Months")))</f>
        <v>13-24 Months</v>
      </c>
    </row>
    <row r="260" spans="1:21" hidden="1">
      <c r="A260" t="s">
        <v>497</v>
      </c>
      <c r="B260" t="s">
        <v>146</v>
      </c>
      <c r="C260" s="2" t="s">
        <v>498</v>
      </c>
      <c r="D260" s="2" t="str">
        <f t="shared" si="16"/>
        <v>Oghene Cooper</v>
      </c>
      <c r="E260">
        <v>64</v>
      </c>
      <c r="F260" s="3" t="str">
        <f t="shared" si="17"/>
        <v>60-69</v>
      </c>
      <c r="G260" t="s">
        <v>96</v>
      </c>
      <c r="H260" t="s">
        <v>35</v>
      </c>
      <c r="I260" t="s">
        <v>36</v>
      </c>
      <c r="J260">
        <v>4</v>
      </c>
      <c r="K260" t="s">
        <v>155</v>
      </c>
      <c r="L260">
        <v>45</v>
      </c>
      <c r="M260" t="s">
        <v>93</v>
      </c>
      <c r="N260">
        <v>350</v>
      </c>
      <c r="O260">
        <v>10</v>
      </c>
      <c r="P260">
        <v>3500</v>
      </c>
      <c r="Q260">
        <v>169.94</v>
      </c>
      <c r="R260" t="s">
        <v>29</v>
      </c>
      <c r="S260" t="s">
        <v>229</v>
      </c>
      <c r="T260">
        <f t="shared" si="18"/>
        <v>3500</v>
      </c>
      <c r="U260" t="str">
        <f t="shared" si="19"/>
        <v>24+ Months</v>
      </c>
    </row>
    <row r="261" spans="1:21" hidden="1">
      <c r="A261" t="s">
        <v>499</v>
      </c>
      <c r="B261" t="s">
        <v>134</v>
      </c>
      <c r="C261" s="2" t="s">
        <v>500</v>
      </c>
      <c r="D261" s="2" t="str">
        <f t="shared" si="16"/>
        <v>Obinna Branch</v>
      </c>
      <c r="E261">
        <v>75</v>
      </c>
      <c r="F261" s="3" t="str">
        <f t="shared" si="17"/>
        <v>70-79</v>
      </c>
      <c r="G261" t="s">
        <v>61</v>
      </c>
      <c r="H261" t="s">
        <v>51</v>
      </c>
      <c r="I261" t="s">
        <v>36</v>
      </c>
      <c r="J261">
        <v>4</v>
      </c>
      <c r="K261" t="s">
        <v>155</v>
      </c>
      <c r="L261">
        <v>27</v>
      </c>
      <c r="M261" t="s">
        <v>82</v>
      </c>
      <c r="N261">
        <v>30000</v>
      </c>
      <c r="O261">
        <v>7</v>
      </c>
      <c r="P261">
        <v>210000</v>
      </c>
      <c r="Q261">
        <v>18.95</v>
      </c>
      <c r="R261" t="s">
        <v>29</v>
      </c>
      <c r="S261" t="s">
        <v>362</v>
      </c>
      <c r="T261">
        <f t="shared" si="18"/>
        <v>210000</v>
      </c>
      <c r="U261" t="str">
        <f t="shared" si="19"/>
        <v>24+ Months</v>
      </c>
    </row>
    <row r="262" spans="1:21" hidden="1">
      <c r="A262" t="s">
        <v>501</v>
      </c>
      <c r="B262" t="s">
        <v>134</v>
      </c>
      <c r="C262" s="2" t="s">
        <v>500</v>
      </c>
      <c r="D262" s="2" t="str">
        <f t="shared" si="16"/>
        <v>Obinna Branch</v>
      </c>
      <c r="E262">
        <v>75</v>
      </c>
      <c r="F262" s="3" t="str">
        <f t="shared" si="17"/>
        <v>70-79</v>
      </c>
      <c r="G262" t="s">
        <v>61</v>
      </c>
      <c r="H262" t="s">
        <v>25</v>
      </c>
      <c r="I262" t="s">
        <v>36</v>
      </c>
      <c r="J262">
        <v>4</v>
      </c>
      <c r="K262" t="s">
        <v>155</v>
      </c>
      <c r="L262">
        <v>27</v>
      </c>
      <c r="M262" t="s">
        <v>73</v>
      </c>
      <c r="N262">
        <v>16000</v>
      </c>
      <c r="O262">
        <v>20</v>
      </c>
      <c r="P262">
        <v>320000</v>
      </c>
      <c r="Q262">
        <v>54.06</v>
      </c>
      <c r="R262" t="s">
        <v>29</v>
      </c>
      <c r="S262" t="s">
        <v>362</v>
      </c>
      <c r="T262">
        <f t="shared" si="18"/>
        <v>320000</v>
      </c>
      <c r="U262" t="str">
        <f t="shared" si="19"/>
        <v>24+ Months</v>
      </c>
    </row>
    <row r="263" spans="1:21">
      <c r="A263" t="s">
        <v>502</v>
      </c>
      <c r="B263" t="s">
        <v>404</v>
      </c>
      <c r="C263" s="2" t="s">
        <v>196</v>
      </c>
      <c r="D263" s="2" t="str">
        <f t="shared" si="16"/>
        <v>Bola Anderson</v>
      </c>
      <c r="E263">
        <v>25</v>
      </c>
      <c r="F263" s="3" t="str">
        <f t="shared" si="17"/>
        <v>20-29</v>
      </c>
      <c r="G263" t="s">
        <v>162</v>
      </c>
      <c r="H263" t="s">
        <v>35</v>
      </c>
      <c r="I263" t="s">
        <v>26</v>
      </c>
      <c r="J263">
        <v>3</v>
      </c>
      <c r="K263" t="s">
        <v>62</v>
      </c>
      <c r="L263">
        <v>31</v>
      </c>
      <c r="M263" t="s">
        <v>57</v>
      </c>
      <c r="N263">
        <v>4500</v>
      </c>
      <c r="O263">
        <v>4</v>
      </c>
      <c r="P263">
        <v>18000</v>
      </c>
      <c r="Q263">
        <v>192.43</v>
      </c>
      <c r="R263" t="s">
        <v>46</v>
      </c>
      <c r="S263" t="s">
        <v>47</v>
      </c>
      <c r="T263">
        <f t="shared" si="18"/>
        <v>0</v>
      </c>
      <c r="U263" t="str">
        <f t="shared" si="19"/>
        <v>24+ Months</v>
      </c>
    </row>
    <row r="264" spans="1:21">
      <c r="A264" t="s">
        <v>503</v>
      </c>
      <c r="B264" t="s">
        <v>369</v>
      </c>
      <c r="C264" s="2" t="s">
        <v>504</v>
      </c>
      <c r="D264" s="2" t="str">
        <f t="shared" si="16"/>
        <v>John Hill</v>
      </c>
      <c r="E264">
        <v>47</v>
      </c>
      <c r="F264" s="3" t="str">
        <f t="shared" si="17"/>
        <v>40-49</v>
      </c>
      <c r="G264" t="s">
        <v>102</v>
      </c>
      <c r="H264" t="s">
        <v>35</v>
      </c>
      <c r="I264" t="s">
        <v>36</v>
      </c>
      <c r="J264">
        <v>5</v>
      </c>
      <c r="K264" t="s">
        <v>68</v>
      </c>
      <c r="L264">
        <v>59</v>
      </c>
      <c r="M264" t="s">
        <v>264</v>
      </c>
      <c r="N264">
        <v>6500</v>
      </c>
      <c r="O264">
        <v>10</v>
      </c>
      <c r="P264">
        <v>65000</v>
      </c>
      <c r="Q264">
        <v>129.91999999999999</v>
      </c>
      <c r="R264" t="s">
        <v>46</v>
      </c>
      <c r="S264" t="s">
        <v>47</v>
      </c>
      <c r="T264">
        <f t="shared" si="18"/>
        <v>0</v>
      </c>
      <c r="U264" t="str">
        <f t="shared" si="19"/>
        <v>24+ Months</v>
      </c>
    </row>
    <row r="265" spans="1:21">
      <c r="A265" t="s">
        <v>505</v>
      </c>
      <c r="B265" t="s">
        <v>369</v>
      </c>
      <c r="C265" s="2" t="s">
        <v>504</v>
      </c>
      <c r="D265" s="2" t="str">
        <f t="shared" si="16"/>
        <v>John Hill</v>
      </c>
      <c r="E265">
        <v>47</v>
      </c>
      <c r="F265" s="3" t="str">
        <f t="shared" si="17"/>
        <v>40-49</v>
      </c>
      <c r="G265" t="s">
        <v>102</v>
      </c>
      <c r="H265" t="s">
        <v>25</v>
      </c>
      <c r="I265" t="s">
        <v>36</v>
      </c>
      <c r="J265">
        <v>5</v>
      </c>
      <c r="K265" t="s">
        <v>68</v>
      </c>
      <c r="L265">
        <v>59</v>
      </c>
      <c r="M265" t="s">
        <v>63</v>
      </c>
      <c r="N265">
        <v>9000</v>
      </c>
      <c r="O265">
        <v>16</v>
      </c>
      <c r="P265">
        <v>144000</v>
      </c>
      <c r="Q265">
        <v>72.25</v>
      </c>
      <c r="R265" t="s">
        <v>46</v>
      </c>
      <c r="S265" t="s">
        <v>47</v>
      </c>
      <c r="T265">
        <f t="shared" si="18"/>
        <v>0</v>
      </c>
      <c r="U265" t="str">
        <f t="shared" si="19"/>
        <v>24+ Months</v>
      </c>
    </row>
    <row r="266" spans="1:21">
      <c r="A266" t="s">
        <v>506</v>
      </c>
      <c r="B266" t="s">
        <v>214</v>
      </c>
      <c r="C266" s="2" t="s">
        <v>507</v>
      </c>
      <c r="D266" s="2" t="str">
        <f t="shared" si="16"/>
        <v>Zina Singh</v>
      </c>
      <c r="E266">
        <v>28</v>
      </c>
      <c r="F266" s="3" t="str">
        <f t="shared" si="17"/>
        <v>20-29</v>
      </c>
      <c r="G266" t="s">
        <v>292</v>
      </c>
      <c r="H266" t="s">
        <v>25</v>
      </c>
      <c r="I266" t="s">
        <v>36</v>
      </c>
      <c r="J266">
        <v>3</v>
      </c>
      <c r="K266" t="s">
        <v>62</v>
      </c>
      <c r="L266">
        <v>59</v>
      </c>
      <c r="M266" t="s">
        <v>57</v>
      </c>
      <c r="N266">
        <v>4500</v>
      </c>
      <c r="O266">
        <v>18</v>
      </c>
      <c r="P266">
        <v>81000</v>
      </c>
      <c r="Q266">
        <v>3.74</v>
      </c>
      <c r="R266" t="s">
        <v>46</v>
      </c>
      <c r="S266" t="s">
        <v>47</v>
      </c>
      <c r="T266">
        <f t="shared" si="18"/>
        <v>0</v>
      </c>
      <c r="U266" t="str">
        <f t="shared" si="19"/>
        <v>24+ Months</v>
      </c>
    </row>
    <row r="267" spans="1:21">
      <c r="A267" t="s">
        <v>508</v>
      </c>
      <c r="B267" t="s">
        <v>316</v>
      </c>
      <c r="C267" s="2" t="s">
        <v>147</v>
      </c>
      <c r="D267" s="2" t="str">
        <f t="shared" si="16"/>
        <v>Ibim Brown</v>
      </c>
      <c r="E267">
        <v>53</v>
      </c>
      <c r="F267" s="3" t="str">
        <f t="shared" si="17"/>
        <v>50-59</v>
      </c>
      <c r="G267" t="s">
        <v>67</v>
      </c>
      <c r="H267" t="s">
        <v>35</v>
      </c>
      <c r="I267" t="s">
        <v>26</v>
      </c>
      <c r="J267">
        <v>4</v>
      </c>
      <c r="K267" t="s">
        <v>155</v>
      </c>
      <c r="L267">
        <v>22</v>
      </c>
      <c r="M267" t="s">
        <v>264</v>
      </c>
      <c r="N267">
        <v>6500</v>
      </c>
      <c r="O267">
        <v>11</v>
      </c>
      <c r="P267">
        <v>71500</v>
      </c>
      <c r="Q267">
        <v>131.09</v>
      </c>
      <c r="R267" t="s">
        <v>46</v>
      </c>
      <c r="S267" t="s">
        <v>47</v>
      </c>
      <c r="T267">
        <f t="shared" si="18"/>
        <v>0</v>
      </c>
      <c r="U267" t="str">
        <f t="shared" si="19"/>
        <v>13-24 Months</v>
      </c>
    </row>
    <row r="268" spans="1:21" hidden="1">
      <c r="A268" t="s">
        <v>509</v>
      </c>
      <c r="B268" t="s">
        <v>40</v>
      </c>
      <c r="C268" s="2" t="s">
        <v>347</v>
      </c>
      <c r="D268" s="2" t="str">
        <f t="shared" si="16"/>
        <v>Saidu Holt</v>
      </c>
      <c r="E268">
        <v>78</v>
      </c>
      <c r="F268" s="3" t="str">
        <f t="shared" si="17"/>
        <v>70-79</v>
      </c>
      <c r="G268" t="s">
        <v>117</v>
      </c>
      <c r="H268" t="s">
        <v>25</v>
      </c>
      <c r="I268" t="s">
        <v>36</v>
      </c>
      <c r="J268">
        <v>2</v>
      </c>
      <c r="K268" t="s">
        <v>27</v>
      </c>
      <c r="L268">
        <v>11</v>
      </c>
      <c r="M268" t="s">
        <v>73</v>
      </c>
      <c r="N268">
        <v>16000</v>
      </c>
      <c r="O268">
        <v>3</v>
      </c>
      <c r="P268">
        <v>48000</v>
      </c>
      <c r="Q268">
        <v>105.03</v>
      </c>
      <c r="R268" t="s">
        <v>29</v>
      </c>
      <c r="S268" t="s">
        <v>30</v>
      </c>
      <c r="T268">
        <f t="shared" si="18"/>
        <v>48000</v>
      </c>
      <c r="U268" t="str">
        <f t="shared" si="19"/>
        <v>7-12 Months</v>
      </c>
    </row>
    <row r="269" spans="1:21" hidden="1">
      <c r="A269" t="s">
        <v>510</v>
      </c>
      <c r="B269" t="s">
        <v>40</v>
      </c>
      <c r="C269" s="2" t="s">
        <v>347</v>
      </c>
      <c r="D269" s="2" t="str">
        <f t="shared" si="16"/>
        <v>Saidu Holt</v>
      </c>
      <c r="E269">
        <v>78</v>
      </c>
      <c r="F269" s="3" t="str">
        <f t="shared" si="17"/>
        <v>70-79</v>
      </c>
      <c r="G269" t="s">
        <v>117</v>
      </c>
      <c r="H269" t="s">
        <v>43</v>
      </c>
      <c r="I269" t="s">
        <v>36</v>
      </c>
      <c r="J269">
        <v>2</v>
      </c>
      <c r="K269" t="s">
        <v>27</v>
      </c>
      <c r="L269">
        <v>11</v>
      </c>
      <c r="M269" t="s">
        <v>52</v>
      </c>
      <c r="N269">
        <v>9000</v>
      </c>
      <c r="O269">
        <v>14</v>
      </c>
      <c r="P269">
        <v>126000</v>
      </c>
      <c r="Q269">
        <v>152.99</v>
      </c>
      <c r="R269" t="s">
        <v>29</v>
      </c>
      <c r="S269" t="s">
        <v>30</v>
      </c>
      <c r="T269">
        <f t="shared" si="18"/>
        <v>126000</v>
      </c>
      <c r="U269" t="str">
        <f t="shared" si="19"/>
        <v>7-12 Months</v>
      </c>
    </row>
    <row r="270" spans="1:21">
      <c r="A270" t="s">
        <v>511</v>
      </c>
      <c r="B270" t="s">
        <v>140</v>
      </c>
      <c r="C270" s="2" t="s">
        <v>512</v>
      </c>
      <c r="D270" s="2" t="str">
        <f t="shared" si="16"/>
        <v>Amaka Vang</v>
      </c>
      <c r="E270">
        <v>45</v>
      </c>
      <c r="F270" s="3" t="str">
        <f t="shared" si="17"/>
        <v>40-49</v>
      </c>
      <c r="G270" t="s">
        <v>201</v>
      </c>
      <c r="H270" t="s">
        <v>35</v>
      </c>
      <c r="I270" t="s">
        <v>26</v>
      </c>
      <c r="J270">
        <v>5</v>
      </c>
      <c r="K270" t="s">
        <v>68</v>
      </c>
      <c r="L270">
        <v>1</v>
      </c>
      <c r="M270" t="s">
        <v>37</v>
      </c>
      <c r="N270">
        <v>5500</v>
      </c>
      <c r="O270">
        <v>18</v>
      </c>
      <c r="P270">
        <v>99000</v>
      </c>
      <c r="Q270">
        <v>3.64</v>
      </c>
      <c r="R270" t="s">
        <v>46</v>
      </c>
      <c r="S270" t="s">
        <v>47</v>
      </c>
      <c r="T270">
        <f t="shared" si="18"/>
        <v>0</v>
      </c>
      <c r="U270" t="str">
        <f t="shared" si="19"/>
        <v>0-6 Months</v>
      </c>
    </row>
    <row r="271" spans="1:21">
      <c r="A271" t="s">
        <v>513</v>
      </c>
      <c r="B271" t="s">
        <v>316</v>
      </c>
      <c r="C271" s="2" t="s">
        <v>514</v>
      </c>
      <c r="D271" s="2" t="str">
        <f t="shared" si="16"/>
        <v>Ibim Faulkner</v>
      </c>
      <c r="E271">
        <v>17</v>
      </c>
      <c r="F271" s="3" t="str">
        <f t="shared" si="17"/>
        <v>10-19</v>
      </c>
      <c r="G271" t="s">
        <v>159</v>
      </c>
      <c r="H271" t="s">
        <v>35</v>
      </c>
      <c r="I271" t="s">
        <v>36</v>
      </c>
      <c r="J271">
        <v>1</v>
      </c>
      <c r="K271" t="s">
        <v>44</v>
      </c>
      <c r="L271">
        <v>35</v>
      </c>
      <c r="M271" t="s">
        <v>108</v>
      </c>
      <c r="N271">
        <v>1000</v>
      </c>
      <c r="O271">
        <v>8</v>
      </c>
      <c r="P271">
        <v>8000</v>
      </c>
      <c r="Q271">
        <v>105.11</v>
      </c>
      <c r="R271" t="s">
        <v>46</v>
      </c>
      <c r="S271" t="s">
        <v>47</v>
      </c>
      <c r="T271">
        <f t="shared" si="18"/>
        <v>0</v>
      </c>
      <c r="U271" t="str">
        <f t="shared" si="19"/>
        <v>24+ Months</v>
      </c>
    </row>
    <row r="272" spans="1:21">
      <c r="A272" t="s">
        <v>515</v>
      </c>
      <c r="B272" t="s">
        <v>84</v>
      </c>
      <c r="C272" s="2" t="s">
        <v>516</v>
      </c>
      <c r="D272" s="2" t="str">
        <f t="shared" si="16"/>
        <v>Bala Hood</v>
      </c>
      <c r="E272">
        <v>48</v>
      </c>
      <c r="F272" s="3" t="str">
        <f t="shared" si="17"/>
        <v>40-49</v>
      </c>
      <c r="G272" t="s">
        <v>210</v>
      </c>
      <c r="H272" t="s">
        <v>35</v>
      </c>
      <c r="I272" t="s">
        <v>36</v>
      </c>
      <c r="J272">
        <v>1</v>
      </c>
      <c r="K272" t="s">
        <v>44</v>
      </c>
      <c r="L272">
        <v>51</v>
      </c>
      <c r="M272" t="s">
        <v>93</v>
      </c>
      <c r="N272">
        <v>350</v>
      </c>
      <c r="O272">
        <v>8</v>
      </c>
      <c r="P272">
        <v>2800</v>
      </c>
      <c r="Q272">
        <v>198.05</v>
      </c>
      <c r="R272" t="s">
        <v>46</v>
      </c>
      <c r="S272" t="s">
        <v>47</v>
      </c>
      <c r="T272">
        <f t="shared" si="18"/>
        <v>0</v>
      </c>
      <c r="U272" t="str">
        <f t="shared" si="19"/>
        <v>24+ Months</v>
      </c>
    </row>
    <row r="273" spans="1:21">
      <c r="A273" t="s">
        <v>517</v>
      </c>
      <c r="B273" t="s">
        <v>84</v>
      </c>
      <c r="C273" s="2" t="s">
        <v>516</v>
      </c>
      <c r="D273" s="2" t="str">
        <f t="shared" si="16"/>
        <v>Bala Hood</v>
      </c>
      <c r="E273">
        <v>48</v>
      </c>
      <c r="F273" s="3" t="str">
        <f t="shared" si="17"/>
        <v>40-49</v>
      </c>
      <c r="G273" t="s">
        <v>210</v>
      </c>
      <c r="H273" t="s">
        <v>43</v>
      </c>
      <c r="I273" t="s">
        <v>36</v>
      </c>
      <c r="J273">
        <v>1</v>
      </c>
      <c r="K273" t="s">
        <v>44</v>
      </c>
      <c r="L273">
        <v>51</v>
      </c>
      <c r="M273" t="s">
        <v>78</v>
      </c>
      <c r="N273">
        <v>24000</v>
      </c>
      <c r="O273">
        <v>3</v>
      </c>
      <c r="P273">
        <v>72000</v>
      </c>
      <c r="Q273">
        <v>136.97</v>
      </c>
      <c r="R273" t="s">
        <v>46</v>
      </c>
      <c r="S273" t="s">
        <v>47</v>
      </c>
      <c r="T273">
        <f t="shared" si="18"/>
        <v>0</v>
      </c>
      <c r="U273" t="str">
        <f t="shared" si="19"/>
        <v>24+ Months</v>
      </c>
    </row>
    <row r="274" spans="1:21">
      <c r="A274" t="s">
        <v>518</v>
      </c>
      <c r="B274" t="s">
        <v>404</v>
      </c>
      <c r="C274" s="2" t="s">
        <v>519</v>
      </c>
      <c r="D274" s="2" t="str">
        <f t="shared" si="16"/>
        <v>Bola Brooks</v>
      </c>
      <c r="E274">
        <v>27</v>
      </c>
      <c r="F274" s="3" t="str">
        <f t="shared" si="17"/>
        <v>20-29</v>
      </c>
      <c r="G274" t="s">
        <v>106</v>
      </c>
      <c r="H274" t="s">
        <v>35</v>
      </c>
      <c r="I274" t="s">
        <v>36</v>
      </c>
      <c r="J274">
        <v>1</v>
      </c>
      <c r="K274" t="s">
        <v>44</v>
      </c>
      <c r="L274">
        <v>25</v>
      </c>
      <c r="M274" t="s">
        <v>28</v>
      </c>
      <c r="N274">
        <v>35000</v>
      </c>
      <c r="O274">
        <v>11</v>
      </c>
      <c r="P274">
        <v>385000</v>
      </c>
      <c r="Q274">
        <v>129.16</v>
      </c>
      <c r="R274" t="s">
        <v>46</v>
      </c>
      <c r="S274" t="s">
        <v>47</v>
      </c>
      <c r="T274">
        <f t="shared" si="18"/>
        <v>0</v>
      </c>
      <c r="U274" t="str">
        <f t="shared" si="19"/>
        <v>24+ Months</v>
      </c>
    </row>
    <row r="275" spans="1:21">
      <c r="A275" t="s">
        <v>520</v>
      </c>
      <c r="B275" t="s">
        <v>404</v>
      </c>
      <c r="C275" s="2" t="s">
        <v>519</v>
      </c>
      <c r="D275" s="2" t="str">
        <f t="shared" si="16"/>
        <v>Bola Brooks</v>
      </c>
      <c r="E275">
        <v>27</v>
      </c>
      <c r="F275" s="3" t="str">
        <f t="shared" si="17"/>
        <v>20-29</v>
      </c>
      <c r="G275" t="s">
        <v>106</v>
      </c>
      <c r="H275" t="s">
        <v>51</v>
      </c>
      <c r="I275" t="s">
        <v>36</v>
      </c>
      <c r="J275">
        <v>1</v>
      </c>
      <c r="K275" t="s">
        <v>44</v>
      </c>
      <c r="L275">
        <v>25</v>
      </c>
      <c r="M275" t="s">
        <v>78</v>
      </c>
      <c r="N275">
        <v>24000</v>
      </c>
      <c r="O275">
        <v>4</v>
      </c>
      <c r="P275">
        <v>96000</v>
      </c>
      <c r="Q275">
        <v>195.48</v>
      </c>
      <c r="R275" t="s">
        <v>46</v>
      </c>
      <c r="S275" t="s">
        <v>47</v>
      </c>
      <c r="T275">
        <f t="shared" si="18"/>
        <v>0</v>
      </c>
      <c r="U275" t="str">
        <f t="shared" si="19"/>
        <v>24+ Months</v>
      </c>
    </row>
    <row r="276" spans="1:21">
      <c r="A276" t="s">
        <v>521</v>
      </c>
      <c r="B276" t="s">
        <v>404</v>
      </c>
      <c r="C276" s="2" t="s">
        <v>519</v>
      </c>
      <c r="D276" s="2" t="str">
        <f t="shared" si="16"/>
        <v>Bola Brooks</v>
      </c>
      <c r="E276">
        <v>27</v>
      </c>
      <c r="F276" s="3" t="str">
        <f t="shared" si="17"/>
        <v>20-29</v>
      </c>
      <c r="G276" t="s">
        <v>106</v>
      </c>
      <c r="H276" t="s">
        <v>35</v>
      </c>
      <c r="I276" t="s">
        <v>36</v>
      </c>
      <c r="J276">
        <v>1</v>
      </c>
      <c r="K276" t="s">
        <v>44</v>
      </c>
      <c r="L276">
        <v>25</v>
      </c>
      <c r="M276" t="s">
        <v>264</v>
      </c>
      <c r="N276">
        <v>6500</v>
      </c>
      <c r="O276">
        <v>8</v>
      </c>
      <c r="P276">
        <v>52000</v>
      </c>
      <c r="Q276">
        <v>183.87</v>
      </c>
      <c r="R276" t="s">
        <v>46</v>
      </c>
      <c r="S276" t="s">
        <v>47</v>
      </c>
      <c r="T276">
        <f t="shared" si="18"/>
        <v>0</v>
      </c>
      <c r="U276" t="str">
        <f t="shared" si="19"/>
        <v>24+ Months</v>
      </c>
    </row>
    <row r="277" spans="1:21">
      <c r="A277" t="s">
        <v>522</v>
      </c>
      <c r="B277" t="s">
        <v>335</v>
      </c>
      <c r="C277" s="2" t="s">
        <v>523</v>
      </c>
      <c r="D277" s="2" t="str">
        <f t="shared" si="16"/>
        <v>Fatima Wheeler</v>
      </c>
      <c r="E277">
        <v>76</v>
      </c>
      <c r="F277" s="3" t="str">
        <f t="shared" si="17"/>
        <v>70-79</v>
      </c>
      <c r="G277" t="s">
        <v>263</v>
      </c>
      <c r="H277" t="s">
        <v>51</v>
      </c>
      <c r="I277" t="s">
        <v>26</v>
      </c>
      <c r="J277">
        <v>3</v>
      </c>
      <c r="K277" t="s">
        <v>62</v>
      </c>
      <c r="L277">
        <v>60</v>
      </c>
      <c r="M277" t="s">
        <v>52</v>
      </c>
      <c r="N277">
        <v>9000</v>
      </c>
      <c r="O277">
        <v>19</v>
      </c>
      <c r="P277">
        <v>171000</v>
      </c>
      <c r="Q277">
        <v>192.31</v>
      </c>
      <c r="R277" t="s">
        <v>46</v>
      </c>
      <c r="S277" t="s">
        <v>47</v>
      </c>
      <c r="T277">
        <f t="shared" si="18"/>
        <v>0</v>
      </c>
      <c r="U277" t="str">
        <f t="shared" si="19"/>
        <v>24+ Months</v>
      </c>
    </row>
    <row r="278" spans="1:21">
      <c r="A278" t="s">
        <v>524</v>
      </c>
      <c r="B278" t="s">
        <v>335</v>
      </c>
      <c r="C278" s="2" t="s">
        <v>523</v>
      </c>
      <c r="D278" s="2" t="str">
        <f t="shared" si="16"/>
        <v>Fatima Wheeler</v>
      </c>
      <c r="E278">
        <v>76</v>
      </c>
      <c r="F278" s="3" t="str">
        <f t="shared" si="17"/>
        <v>70-79</v>
      </c>
      <c r="G278" t="s">
        <v>263</v>
      </c>
      <c r="H278" t="s">
        <v>35</v>
      </c>
      <c r="I278" t="s">
        <v>26</v>
      </c>
      <c r="J278">
        <v>3</v>
      </c>
      <c r="K278" t="s">
        <v>62</v>
      </c>
      <c r="L278">
        <v>60</v>
      </c>
      <c r="M278" t="s">
        <v>227</v>
      </c>
      <c r="N278">
        <v>600</v>
      </c>
      <c r="O278">
        <v>13</v>
      </c>
      <c r="P278">
        <v>7800</v>
      </c>
      <c r="Q278">
        <v>150.57</v>
      </c>
      <c r="R278" t="s">
        <v>46</v>
      </c>
      <c r="S278" t="s">
        <v>47</v>
      </c>
      <c r="T278">
        <f t="shared" si="18"/>
        <v>0</v>
      </c>
      <c r="U278" t="str">
        <f t="shared" si="19"/>
        <v>24+ Months</v>
      </c>
    </row>
    <row r="279" spans="1:21">
      <c r="A279" t="s">
        <v>525</v>
      </c>
      <c r="B279" t="s">
        <v>335</v>
      </c>
      <c r="C279" s="2" t="s">
        <v>523</v>
      </c>
      <c r="D279" s="2" t="str">
        <f t="shared" si="16"/>
        <v>Fatima Wheeler</v>
      </c>
      <c r="E279">
        <v>76</v>
      </c>
      <c r="F279" s="3" t="str">
        <f t="shared" si="17"/>
        <v>70-79</v>
      </c>
      <c r="G279" t="s">
        <v>263</v>
      </c>
      <c r="H279" t="s">
        <v>25</v>
      </c>
      <c r="I279" t="s">
        <v>26</v>
      </c>
      <c r="J279">
        <v>3</v>
      </c>
      <c r="K279" t="s">
        <v>62</v>
      </c>
      <c r="L279">
        <v>60</v>
      </c>
      <c r="M279" t="s">
        <v>73</v>
      </c>
      <c r="N279">
        <v>16000</v>
      </c>
      <c r="O279">
        <v>19</v>
      </c>
      <c r="P279">
        <v>304000</v>
      </c>
      <c r="Q279">
        <v>60.21</v>
      </c>
      <c r="R279" t="s">
        <v>46</v>
      </c>
      <c r="S279" t="s">
        <v>47</v>
      </c>
      <c r="T279">
        <f t="shared" si="18"/>
        <v>0</v>
      </c>
      <c r="U279" t="str">
        <f t="shared" si="19"/>
        <v>24+ Months</v>
      </c>
    </row>
    <row r="280" spans="1:21">
      <c r="A280" t="s">
        <v>526</v>
      </c>
      <c r="B280" t="s">
        <v>87</v>
      </c>
      <c r="C280" s="2" t="s">
        <v>527</v>
      </c>
      <c r="D280" s="2" t="str">
        <f t="shared" si="16"/>
        <v>Halima Valencia</v>
      </c>
      <c r="E280">
        <v>65</v>
      </c>
      <c r="F280" s="3" t="str">
        <f t="shared" si="17"/>
        <v>60-69</v>
      </c>
      <c r="G280" t="s">
        <v>111</v>
      </c>
      <c r="H280" t="s">
        <v>51</v>
      </c>
      <c r="I280" t="s">
        <v>36</v>
      </c>
      <c r="J280">
        <v>1</v>
      </c>
      <c r="K280" t="s">
        <v>44</v>
      </c>
      <c r="L280">
        <v>25</v>
      </c>
      <c r="M280" t="s">
        <v>91</v>
      </c>
      <c r="N280">
        <v>14500</v>
      </c>
      <c r="O280">
        <v>3</v>
      </c>
      <c r="P280">
        <v>43500</v>
      </c>
      <c r="Q280">
        <v>46.81</v>
      </c>
      <c r="R280" t="s">
        <v>46</v>
      </c>
      <c r="S280" t="s">
        <v>47</v>
      </c>
      <c r="T280">
        <f t="shared" si="18"/>
        <v>0</v>
      </c>
      <c r="U280" t="str">
        <f t="shared" si="19"/>
        <v>24+ Months</v>
      </c>
    </row>
    <row r="281" spans="1:21">
      <c r="A281" t="s">
        <v>528</v>
      </c>
      <c r="B281" t="s">
        <v>87</v>
      </c>
      <c r="C281" s="2" t="s">
        <v>527</v>
      </c>
      <c r="D281" s="2" t="str">
        <f t="shared" si="16"/>
        <v>Halima Valencia</v>
      </c>
      <c r="E281">
        <v>65</v>
      </c>
      <c r="F281" s="3" t="str">
        <f t="shared" si="17"/>
        <v>60-69</v>
      </c>
      <c r="G281" t="s">
        <v>111</v>
      </c>
      <c r="H281" t="s">
        <v>35</v>
      </c>
      <c r="I281" t="s">
        <v>36</v>
      </c>
      <c r="J281">
        <v>1</v>
      </c>
      <c r="K281" t="s">
        <v>44</v>
      </c>
      <c r="L281">
        <v>25</v>
      </c>
      <c r="M281" t="s">
        <v>69</v>
      </c>
      <c r="N281">
        <v>3500</v>
      </c>
      <c r="O281">
        <v>20</v>
      </c>
      <c r="P281">
        <v>70000</v>
      </c>
      <c r="Q281">
        <v>121.23</v>
      </c>
      <c r="R281" t="s">
        <v>46</v>
      </c>
      <c r="S281" t="s">
        <v>47</v>
      </c>
      <c r="T281">
        <f t="shared" si="18"/>
        <v>0</v>
      </c>
      <c r="U281" t="str">
        <f t="shared" si="19"/>
        <v>24+ Months</v>
      </c>
    </row>
    <row r="282" spans="1:21" hidden="1">
      <c r="A282" t="s">
        <v>529</v>
      </c>
      <c r="B282" t="s">
        <v>65</v>
      </c>
      <c r="C282" s="2" t="s">
        <v>530</v>
      </c>
      <c r="D282" s="2" t="str">
        <f t="shared" si="16"/>
        <v>Tamuno Boyd</v>
      </c>
      <c r="E282">
        <v>57</v>
      </c>
      <c r="F282" s="3" t="str">
        <f t="shared" si="17"/>
        <v>50-59</v>
      </c>
      <c r="G282" t="s">
        <v>159</v>
      </c>
      <c r="H282" t="s">
        <v>35</v>
      </c>
      <c r="I282" t="s">
        <v>36</v>
      </c>
      <c r="J282">
        <v>4</v>
      </c>
      <c r="K282" t="s">
        <v>155</v>
      </c>
      <c r="L282">
        <v>51</v>
      </c>
      <c r="M282" t="s">
        <v>113</v>
      </c>
      <c r="N282">
        <v>7500</v>
      </c>
      <c r="O282">
        <v>20</v>
      </c>
      <c r="P282">
        <v>150000</v>
      </c>
      <c r="Q282">
        <v>17.600000000000001</v>
      </c>
      <c r="R282" t="s">
        <v>29</v>
      </c>
      <c r="S282" t="s">
        <v>30</v>
      </c>
      <c r="T282">
        <f t="shared" si="18"/>
        <v>150000</v>
      </c>
      <c r="U282" t="str">
        <f t="shared" si="19"/>
        <v>24+ Months</v>
      </c>
    </row>
    <row r="283" spans="1:21" hidden="1">
      <c r="A283" t="s">
        <v>531</v>
      </c>
      <c r="B283" t="s">
        <v>65</v>
      </c>
      <c r="C283" s="2" t="s">
        <v>530</v>
      </c>
      <c r="D283" s="2" t="str">
        <f t="shared" si="16"/>
        <v>Tamuno Boyd</v>
      </c>
      <c r="E283">
        <v>57</v>
      </c>
      <c r="F283" s="3" t="str">
        <f t="shared" si="17"/>
        <v>50-59</v>
      </c>
      <c r="G283" t="s">
        <v>159</v>
      </c>
      <c r="H283" t="s">
        <v>51</v>
      </c>
      <c r="I283" t="s">
        <v>36</v>
      </c>
      <c r="J283">
        <v>4</v>
      </c>
      <c r="K283" t="s">
        <v>155</v>
      </c>
      <c r="L283">
        <v>51</v>
      </c>
      <c r="M283" t="s">
        <v>82</v>
      </c>
      <c r="N283">
        <v>30000</v>
      </c>
      <c r="O283">
        <v>3</v>
      </c>
      <c r="P283">
        <v>90000</v>
      </c>
      <c r="Q283">
        <v>159.71</v>
      </c>
      <c r="R283" t="s">
        <v>29</v>
      </c>
      <c r="S283" t="s">
        <v>30</v>
      </c>
      <c r="T283">
        <f t="shared" si="18"/>
        <v>90000</v>
      </c>
      <c r="U283" t="str">
        <f t="shared" si="19"/>
        <v>24+ Months</v>
      </c>
    </row>
    <row r="284" spans="1:21">
      <c r="A284" t="s">
        <v>532</v>
      </c>
      <c r="B284" t="s">
        <v>219</v>
      </c>
      <c r="C284" s="2" t="s">
        <v>533</v>
      </c>
      <c r="D284" s="2" t="str">
        <f t="shared" si="16"/>
        <v>Chinedu Martinez</v>
      </c>
      <c r="E284">
        <v>50</v>
      </c>
      <c r="F284" s="3" t="str">
        <f t="shared" si="17"/>
        <v>50-59</v>
      </c>
      <c r="G284" t="s">
        <v>67</v>
      </c>
      <c r="H284" t="s">
        <v>51</v>
      </c>
      <c r="I284" t="s">
        <v>36</v>
      </c>
      <c r="J284">
        <v>4</v>
      </c>
      <c r="K284" t="s">
        <v>155</v>
      </c>
      <c r="L284">
        <v>46</v>
      </c>
      <c r="M284" t="s">
        <v>52</v>
      </c>
      <c r="N284">
        <v>9000</v>
      </c>
      <c r="O284">
        <v>15</v>
      </c>
      <c r="P284">
        <v>135000</v>
      </c>
      <c r="Q284">
        <v>188.62</v>
      </c>
      <c r="R284" t="s">
        <v>46</v>
      </c>
      <c r="S284" t="s">
        <v>47</v>
      </c>
      <c r="T284">
        <f t="shared" si="18"/>
        <v>0</v>
      </c>
      <c r="U284" t="str">
        <f t="shared" si="19"/>
        <v>24+ Months</v>
      </c>
    </row>
    <row r="285" spans="1:21">
      <c r="A285" t="s">
        <v>534</v>
      </c>
      <c r="B285" t="s">
        <v>54</v>
      </c>
      <c r="C285" s="2" t="s">
        <v>535</v>
      </c>
      <c r="D285" s="2" t="str">
        <f t="shared" si="16"/>
        <v>Ejiro Finley</v>
      </c>
      <c r="E285">
        <v>50</v>
      </c>
      <c r="F285" s="3" t="str">
        <f t="shared" si="17"/>
        <v>50-59</v>
      </c>
      <c r="G285" t="s">
        <v>128</v>
      </c>
      <c r="H285" t="s">
        <v>35</v>
      </c>
      <c r="I285" t="s">
        <v>26</v>
      </c>
      <c r="J285">
        <v>4</v>
      </c>
      <c r="K285" t="s">
        <v>155</v>
      </c>
      <c r="L285">
        <v>6</v>
      </c>
      <c r="M285" t="s">
        <v>108</v>
      </c>
      <c r="N285">
        <v>1000</v>
      </c>
      <c r="O285">
        <v>3</v>
      </c>
      <c r="P285">
        <v>3000</v>
      </c>
      <c r="Q285">
        <v>71.11</v>
      </c>
      <c r="R285" t="s">
        <v>46</v>
      </c>
      <c r="S285" t="s">
        <v>47</v>
      </c>
      <c r="T285">
        <f t="shared" si="18"/>
        <v>0</v>
      </c>
      <c r="U285" t="str">
        <f t="shared" si="19"/>
        <v>0-6 Months</v>
      </c>
    </row>
    <row r="286" spans="1:21">
      <c r="A286" t="s">
        <v>536</v>
      </c>
      <c r="B286" t="s">
        <v>54</v>
      </c>
      <c r="C286" s="2" t="s">
        <v>535</v>
      </c>
      <c r="D286" s="2" t="str">
        <f t="shared" si="16"/>
        <v>Ejiro Finley</v>
      </c>
      <c r="E286">
        <v>50</v>
      </c>
      <c r="F286" s="3" t="str">
        <f t="shared" si="17"/>
        <v>50-59</v>
      </c>
      <c r="G286" t="s">
        <v>128</v>
      </c>
      <c r="H286" t="s">
        <v>51</v>
      </c>
      <c r="I286" t="s">
        <v>26</v>
      </c>
      <c r="J286">
        <v>4</v>
      </c>
      <c r="K286" t="s">
        <v>155</v>
      </c>
      <c r="L286">
        <v>6</v>
      </c>
      <c r="M286" t="s">
        <v>78</v>
      </c>
      <c r="N286">
        <v>24000</v>
      </c>
      <c r="O286">
        <v>11</v>
      </c>
      <c r="P286">
        <v>264000</v>
      </c>
      <c r="Q286">
        <v>119.81</v>
      </c>
      <c r="R286" t="s">
        <v>46</v>
      </c>
      <c r="S286" t="s">
        <v>47</v>
      </c>
      <c r="T286">
        <f t="shared" si="18"/>
        <v>0</v>
      </c>
      <c r="U286" t="str">
        <f t="shared" si="19"/>
        <v>0-6 Months</v>
      </c>
    </row>
    <row r="287" spans="1:21">
      <c r="A287" t="s">
        <v>537</v>
      </c>
      <c r="B287" t="s">
        <v>54</v>
      </c>
      <c r="C287" s="2" t="s">
        <v>535</v>
      </c>
      <c r="D287" s="2" t="str">
        <f t="shared" si="16"/>
        <v>Ejiro Finley</v>
      </c>
      <c r="E287">
        <v>50</v>
      </c>
      <c r="F287" s="3" t="str">
        <f t="shared" si="17"/>
        <v>50-59</v>
      </c>
      <c r="G287" t="s">
        <v>128</v>
      </c>
      <c r="H287" t="s">
        <v>43</v>
      </c>
      <c r="I287" t="s">
        <v>26</v>
      </c>
      <c r="J287">
        <v>4</v>
      </c>
      <c r="K287" t="s">
        <v>155</v>
      </c>
      <c r="L287">
        <v>6</v>
      </c>
      <c r="M287" t="s">
        <v>143</v>
      </c>
      <c r="N287">
        <v>75000</v>
      </c>
      <c r="O287">
        <v>14</v>
      </c>
      <c r="P287">
        <v>1050000</v>
      </c>
      <c r="Q287">
        <v>2.96</v>
      </c>
      <c r="R287" t="s">
        <v>46</v>
      </c>
      <c r="S287" t="s">
        <v>47</v>
      </c>
      <c r="T287">
        <f t="shared" si="18"/>
        <v>0</v>
      </c>
      <c r="U287" t="str">
        <f t="shared" si="19"/>
        <v>0-6 Months</v>
      </c>
    </row>
    <row r="288" spans="1:21" hidden="1">
      <c r="A288" t="s">
        <v>538</v>
      </c>
      <c r="B288" t="s">
        <v>358</v>
      </c>
      <c r="C288" s="2" t="s">
        <v>539</v>
      </c>
      <c r="D288" s="2" t="str">
        <f t="shared" si="16"/>
        <v>Omamuzo Levine</v>
      </c>
      <c r="E288">
        <v>26</v>
      </c>
      <c r="F288" s="3" t="str">
        <f t="shared" si="17"/>
        <v>20-29</v>
      </c>
      <c r="G288" t="s">
        <v>89</v>
      </c>
      <c r="H288" t="s">
        <v>35</v>
      </c>
      <c r="I288" t="s">
        <v>26</v>
      </c>
      <c r="J288">
        <v>2</v>
      </c>
      <c r="K288" t="s">
        <v>27</v>
      </c>
      <c r="L288">
        <v>44</v>
      </c>
      <c r="M288" t="s">
        <v>108</v>
      </c>
      <c r="N288">
        <v>1000</v>
      </c>
      <c r="O288">
        <v>9</v>
      </c>
      <c r="P288">
        <v>9000</v>
      </c>
      <c r="Q288">
        <v>33.86</v>
      </c>
      <c r="R288" t="s">
        <v>29</v>
      </c>
      <c r="S288" t="s">
        <v>129</v>
      </c>
      <c r="T288">
        <f t="shared" si="18"/>
        <v>9000</v>
      </c>
      <c r="U288" t="str">
        <f t="shared" si="19"/>
        <v>24+ Months</v>
      </c>
    </row>
    <row r="289" spans="1:21" hidden="1">
      <c r="A289" t="s">
        <v>540</v>
      </c>
      <c r="B289" t="s">
        <v>358</v>
      </c>
      <c r="C289" s="2" t="s">
        <v>539</v>
      </c>
      <c r="D289" s="2" t="str">
        <f t="shared" si="16"/>
        <v>Omamuzo Levine</v>
      </c>
      <c r="E289">
        <v>26</v>
      </c>
      <c r="F289" s="3" t="str">
        <f t="shared" si="17"/>
        <v>20-29</v>
      </c>
      <c r="G289" t="s">
        <v>89</v>
      </c>
      <c r="H289" t="s">
        <v>51</v>
      </c>
      <c r="I289" t="s">
        <v>26</v>
      </c>
      <c r="J289">
        <v>2</v>
      </c>
      <c r="K289" t="s">
        <v>27</v>
      </c>
      <c r="L289">
        <v>44</v>
      </c>
      <c r="M289" t="s">
        <v>91</v>
      </c>
      <c r="N289">
        <v>14500</v>
      </c>
      <c r="O289">
        <v>3</v>
      </c>
      <c r="P289">
        <v>43500</v>
      </c>
      <c r="Q289">
        <v>60.3</v>
      </c>
      <c r="R289" t="s">
        <v>29</v>
      </c>
      <c r="S289" t="s">
        <v>129</v>
      </c>
      <c r="T289">
        <f t="shared" si="18"/>
        <v>43500</v>
      </c>
      <c r="U289" t="str">
        <f t="shared" si="19"/>
        <v>24+ Months</v>
      </c>
    </row>
    <row r="290" spans="1:21" hidden="1">
      <c r="A290" t="s">
        <v>541</v>
      </c>
      <c r="B290" t="s">
        <v>54</v>
      </c>
      <c r="C290" s="2" t="s">
        <v>542</v>
      </c>
      <c r="D290" s="2" t="str">
        <f t="shared" si="16"/>
        <v>Ejiro Roman</v>
      </c>
      <c r="E290">
        <v>48</v>
      </c>
      <c r="F290" s="3" t="str">
        <f t="shared" si="17"/>
        <v>40-49</v>
      </c>
      <c r="G290" t="s">
        <v>89</v>
      </c>
      <c r="H290" t="s">
        <v>35</v>
      </c>
      <c r="I290" t="s">
        <v>36</v>
      </c>
      <c r="J290">
        <v>4</v>
      </c>
      <c r="K290" t="s">
        <v>155</v>
      </c>
      <c r="L290">
        <v>39</v>
      </c>
      <c r="M290" t="s">
        <v>69</v>
      </c>
      <c r="N290">
        <v>3500</v>
      </c>
      <c r="O290">
        <v>13</v>
      </c>
      <c r="P290">
        <v>45500</v>
      </c>
      <c r="Q290">
        <v>168.4</v>
      </c>
      <c r="R290" t="s">
        <v>29</v>
      </c>
      <c r="S290" t="s">
        <v>129</v>
      </c>
      <c r="T290">
        <f t="shared" si="18"/>
        <v>45500</v>
      </c>
      <c r="U290" t="str">
        <f t="shared" si="19"/>
        <v>24+ Months</v>
      </c>
    </row>
    <row r="291" spans="1:21">
      <c r="A291" t="s">
        <v>543</v>
      </c>
      <c r="B291" t="s">
        <v>249</v>
      </c>
      <c r="C291" s="2" t="s">
        <v>544</v>
      </c>
      <c r="D291" s="2" t="str">
        <f t="shared" si="16"/>
        <v>Tega Mendez</v>
      </c>
      <c r="E291">
        <v>72</v>
      </c>
      <c r="F291" s="3" t="str">
        <f t="shared" si="17"/>
        <v>70-79</v>
      </c>
      <c r="G291" t="s">
        <v>216</v>
      </c>
      <c r="H291" t="s">
        <v>25</v>
      </c>
      <c r="I291" t="s">
        <v>36</v>
      </c>
      <c r="J291">
        <v>3</v>
      </c>
      <c r="K291" t="s">
        <v>62</v>
      </c>
      <c r="L291">
        <v>53</v>
      </c>
      <c r="M291" t="s">
        <v>57</v>
      </c>
      <c r="N291">
        <v>4500</v>
      </c>
      <c r="O291">
        <v>11</v>
      </c>
      <c r="P291">
        <v>49500</v>
      </c>
      <c r="Q291">
        <v>192.93</v>
      </c>
      <c r="R291" t="s">
        <v>46</v>
      </c>
      <c r="S291" t="s">
        <v>47</v>
      </c>
      <c r="T291">
        <f t="shared" si="18"/>
        <v>0</v>
      </c>
      <c r="U291" t="str">
        <f t="shared" si="19"/>
        <v>24+ Months</v>
      </c>
    </row>
    <row r="292" spans="1:21">
      <c r="A292" t="s">
        <v>545</v>
      </c>
      <c r="B292" t="s">
        <v>249</v>
      </c>
      <c r="C292" s="2" t="s">
        <v>544</v>
      </c>
      <c r="D292" s="2" t="str">
        <f t="shared" si="16"/>
        <v>Tega Mendez</v>
      </c>
      <c r="E292">
        <v>72</v>
      </c>
      <c r="F292" s="3" t="str">
        <f t="shared" si="17"/>
        <v>70-79</v>
      </c>
      <c r="G292" t="s">
        <v>216</v>
      </c>
      <c r="H292" t="s">
        <v>35</v>
      </c>
      <c r="I292" t="s">
        <v>36</v>
      </c>
      <c r="J292">
        <v>3</v>
      </c>
      <c r="K292" t="s">
        <v>62</v>
      </c>
      <c r="L292">
        <v>53</v>
      </c>
      <c r="M292" t="s">
        <v>49</v>
      </c>
      <c r="N292">
        <v>500</v>
      </c>
      <c r="O292">
        <v>16</v>
      </c>
      <c r="P292">
        <v>8000</v>
      </c>
      <c r="Q292">
        <v>147.11000000000001</v>
      </c>
      <c r="R292" t="s">
        <v>46</v>
      </c>
      <c r="S292" t="s">
        <v>47</v>
      </c>
      <c r="T292">
        <f t="shared" si="18"/>
        <v>0</v>
      </c>
      <c r="U292" t="str">
        <f t="shared" si="19"/>
        <v>24+ Months</v>
      </c>
    </row>
    <row r="293" spans="1:21">
      <c r="A293" t="s">
        <v>546</v>
      </c>
      <c r="B293" t="s">
        <v>249</v>
      </c>
      <c r="C293" s="2" t="s">
        <v>544</v>
      </c>
      <c r="D293" s="2" t="str">
        <f t="shared" si="16"/>
        <v>Tega Mendez</v>
      </c>
      <c r="E293">
        <v>72</v>
      </c>
      <c r="F293" s="3" t="str">
        <f t="shared" si="17"/>
        <v>70-79</v>
      </c>
      <c r="G293" t="s">
        <v>216</v>
      </c>
      <c r="H293" t="s">
        <v>43</v>
      </c>
      <c r="I293" t="s">
        <v>36</v>
      </c>
      <c r="J293">
        <v>3</v>
      </c>
      <c r="K293" t="s">
        <v>62</v>
      </c>
      <c r="L293">
        <v>53</v>
      </c>
      <c r="M293" t="s">
        <v>91</v>
      </c>
      <c r="N293">
        <v>14500</v>
      </c>
      <c r="O293">
        <v>9</v>
      </c>
      <c r="P293">
        <v>130500</v>
      </c>
      <c r="Q293">
        <v>65.510000000000005</v>
      </c>
      <c r="R293" t="s">
        <v>46</v>
      </c>
      <c r="S293" t="s">
        <v>47</v>
      </c>
      <c r="T293">
        <f t="shared" si="18"/>
        <v>0</v>
      </c>
      <c r="U293" t="str">
        <f t="shared" si="19"/>
        <v>24+ Months</v>
      </c>
    </row>
    <row r="294" spans="1:21" hidden="1">
      <c r="A294" t="s">
        <v>547</v>
      </c>
      <c r="B294" t="s">
        <v>65</v>
      </c>
      <c r="C294" s="2" t="s">
        <v>495</v>
      </c>
      <c r="D294" s="2" t="str">
        <f t="shared" si="16"/>
        <v>Tamuno Yang</v>
      </c>
      <c r="E294">
        <v>62</v>
      </c>
      <c r="F294" s="3" t="str">
        <f t="shared" si="17"/>
        <v>60-69</v>
      </c>
      <c r="G294" t="s">
        <v>240</v>
      </c>
      <c r="H294" t="s">
        <v>25</v>
      </c>
      <c r="I294" t="s">
        <v>26</v>
      </c>
      <c r="J294">
        <v>5</v>
      </c>
      <c r="K294" t="s">
        <v>68</v>
      </c>
      <c r="L294">
        <v>38</v>
      </c>
      <c r="M294" t="s">
        <v>63</v>
      </c>
      <c r="N294">
        <v>9000</v>
      </c>
      <c r="O294">
        <v>3</v>
      </c>
      <c r="P294">
        <v>27000</v>
      </c>
      <c r="Q294">
        <v>166.34</v>
      </c>
      <c r="R294" t="s">
        <v>29</v>
      </c>
      <c r="S294" t="s">
        <v>393</v>
      </c>
      <c r="T294">
        <f t="shared" si="18"/>
        <v>27000</v>
      </c>
      <c r="U294" t="str">
        <f t="shared" si="19"/>
        <v>24+ Months</v>
      </c>
    </row>
    <row r="295" spans="1:21" hidden="1">
      <c r="A295" t="s">
        <v>548</v>
      </c>
      <c r="B295" t="s">
        <v>65</v>
      </c>
      <c r="C295" s="2" t="s">
        <v>495</v>
      </c>
      <c r="D295" s="2" t="str">
        <f t="shared" si="16"/>
        <v>Tamuno Yang</v>
      </c>
      <c r="E295">
        <v>62</v>
      </c>
      <c r="F295" s="3" t="str">
        <f t="shared" si="17"/>
        <v>60-69</v>
      </c>
      <c r="G295" t="s">
        <v>240</v>
      </c>
      <c r="H295" t="s">
        <v>35</v>
      </c>
      <c r="I295" t="s">
        <v>26</v>
      </c>
      <c r="J295">
        <v>5</v>
      </c>
      <c r="K295" t="s">
        <v>68</v>
      </c>
      <c r="L295">
        <v>38</v>
      </c>
      <c r="M295" t="s">
        <v>113</v>
      </c>
      <c r="N295">
        <v>7500</v>
      </c>
      <c r="O295">
        <v>5</v>
      </c>
      <c r="P295">
        <v>37500</v>
      </c>
      <c r="Q295">
        <v>134.76</v>
      </c>
      <c r="R295" t="s">
        <v>29</v>
      </c>
      <c r="S295" t="s">
        <v>393</v>
      </c>
      <c r="T295">
        <f t="shared" si="18"/>
        <v>37500</v>
      </c>
      <c r="U295" t="str">
        <f t="shared" si="19"/>
        <v>24+ Months</v>
      </c>
    </row>
    <row r="296" spans="1:21" hidden="1">
      <c r="A296" t="s">
        <v>549</v>
      </c>
      <c r="B296" t="s">
        <v>169</v>
      </c>
      <c r="C296" s="2" t="s">
        <v>277</v>
      </c>
      <c r="D296" s="2" t="str">
        <f t="shared" si="16"/>
        <v>Maryam Williams</v>
      </c>
      <c r="E296">
        <v>46</v>
      </c>
      <c r="F296" s="3" t="str">
        <f t="shared" si="17"/>
        <v>40-49</v>
      </c>
      <c r="G296" t="s">
        <v>197</v>
      </c>
      <c r="H296" t="s">
        <v>35</v>
      </c>
      <c r="I296" t="s">
        <v>26</v>
      </c>
      <c r="J296">
        <v>4</v>
      </c>
      <c r="K296" t="s">
        <v>155</v>
      </c>
      <c r="L296">
        <v>46</v>
      </c>
      <c r="M296" t="s">
        <v>264</v>
      </c>
      <c r="N296">
        <v>6500</v>
      </c>
      <c r="O296">
        <v>14</v>
      </c>
      <c r="P296">
        <v>91000</v>
      </c>
      <c r="Q296">
        <v>184.74</v>
      </c>
      <c r="R296" t="s">
        <v>29</v>
      </c>
      <c r="S296" t="s">
        <v>30</v>
      </c>
      <c r="T296">
        <f t="shared" si="18"/>
        <v>91000</v>
      </c>
      <c r="U296" t="str">
        <f t="shared" si="19"/>
        <v>24+ Months</v>
      </c>
    </row>
    <row r="297" spans="1:21" hidden="1">
      <c r="A297" t="s">
        <v>550</v>
      </c>
      <c r="B297" t="s">
        <v>169</v>
      </c>
      <c r="C297" s="2" t="s">
        <v>277</v>
      </c>
      <c r="D297" s="2" t="str">
        <f t="shared" si="16"/>
        <v>Maryam Williams</v>
      </c>
      <c r="E297">
        <v>46</v>
      </c>
      <c r="F297" s="3" t="str">
        <f t="shared" si="17"/>
        <v>40-49</v>
      </c>
      <c r="G297" t="s">
        <v>197</v>
      </c>
      <c r="H297" t="s">
        <v>43</v>
      </c>
      <c r="I297" t="s">
        <v>26</v>
      </c>
      <c r="J297">
        <v>4</v>
      </c>
      <c r="K297" t="s">
        <v>155</v>
      </c>
      <c r="L297">
        <v>46</v>
      </c>
      <c r="M297" t="s">
        <v>52</v>
      </c>
      <c r="N297">
        <v>9000</v>
      </c>
      <c r="O297">
        <v>12</v>
      </c>
      <c r="P297">
        <v>108000</v>
      </c>
      <c r="Q297">
        <v>158.25</v>
      </c>
      <c r="R297" t="s">
        <v>29</v>
      </c>
      <c r="S297" t="s">
        <v>30</v>
      </c>
      <c r="T297">
        <f t="shared" si="18"/>
        <v>108000</v>
      </c>
      <c r="U297" t="str">
        <f t="shared" si="19"/>
        <v>24+ Months</v>
      </c>
    </row>
    <row r="298" spans="1:21">
      <c r="A298" t="s">
        <v>551</v>
      </c>
      <c r="B298" t="s">
        <v>131</v>
      </c>
      <c r="C298" s="2" t="s">
        <v>552</v>
      </c>
      <c r="D298" s="2" t="str">
        <f t="shared" si="16"/>
        <v>David Miller</v>
      </c>
      <c r="E298">
        <v>26</v>
      </c>
      <c r="F298" s="3" t="str">
        <f t="shared" si="17"/>
        <v>20-29</v>
      </c>
      <c r="G298" t="s">
        <v>128</v>
      </c>
      <c r="H298" t="s">
        <v>35</v>
      </c>
      <c r="I298" t="s">
        <v>26</v>
      </c>
      <c r="J298">
        <v>2</v>
      </c>
      <c r="K298" t="s">
        <v>27</v>
      </c>
      <c r="L298">
        <v>43</v>
      </c>
      <c r="M298" t="s">
        <v>69</v>
      </c>
      <c r="N298">
        <v>3500</v>
      </c>
      <c r="O298">
        <v>14</v>
      </c>
      <c r="P298">
        <v>49000</v>
      </c>
      <c r="Q298">
        <v>193.16</v>
      </c>
      <c r="R298" t="s">
        <v>46</v>
      </c>
      <c r="S298" t="s">
        <v>47</v>
      </c>
      <c r="T298">
        <f t="shared" si="18"/>
        <v>0</v>
      </c>
      <c r="U298" t="str">
        <f t="shared" si="19"/>
        <v>24+ Months</v>
      </c>
    </row>
    <row r="299" spans="1:21">
      <c r="A299" t="s">
        <v>553</v>
      </c>
      <c r="B299" t="s">
        <v>22</v>
      </c>
      <c r="C299" s="2" t="s">
        <v>461</v>
      </c>
      <c r="D299" s="2" t="str">
        <f t="shared" si="16"/>
        <v>Ngozi Fowler</v>
      </c>
      <c r="E299">
        <v>17</v>
      </c>
      <c r="F299" s="3" t="str">
        <f t="shared" si="17"/>
        <v>10-19</v>
      </c>
      <c r="G299" t="s">
        <v>128</v>
      </c>
      <c r="H299" t="s">
        <v>25</v>
      </c>
      <c r="I299" t="s">
        <v>36</v>
      </c>
      <c r="J299">
        <v>4</v>
      </c>
      <c r="K299" t="s">
        <v>155</v>
      </c>
      <c r="L299">
        <v>15</v>
      </c>
      <c r="M299" t="s">
        <v>57</v>
      </c>
      <c r="N299">
        <v>4500</v>
      </c>
      <c r="O299">
        <v>10</v>
      </c>
      <c r="P299">
        <v>45000</v>
      </c>
      <c r="Q299">
        <v>96.81</v>
      </c>
      <c r="R299" t="s">
        <v>46</v>
      </c>
      <c r="S299" t="s">
        <v>47</v>
      </c>
      <c r="T299">
        <f t="shared" si="18"/>
        <v>0</v>
      </c>
      <c r="U299" t="str">
        <f t="shared" si="19"/>
        <v>13-24 Months</v>
      </c>
    </row>
    <row r="300" spans="1:21">
      <c r="A300" t="s">
        <v>554</v>
      </c>
      <c r="B300" t="s">
        <v>22</v>
      </c>
      <c r="C300" s="2" t="s">
        <v>461</v>
      </c>
      <c r="D300" s="2" t="str">
        <f t="shared" si="16"/>
        <v>Ngozi Fowler</v>
      </c>
      <c r="E300">
        <v>17</v>
      </c>
      <c r="F300" s="3" t="str">
        <f t="shared" si="17"/>
        <v>10-19</v>
      </c>
      <c r="G300" t="s">
        <v>128</v>
      </c>
      <c r="H300" t="s">
        <v>35</v>
      </c>
      <c r="I300" t="s">
        <v>36</v>
      </c>
      <c r="J300">
        <v>4</v>
      </c>
      <c r="K300" t="s">
        <v>155</v>
      </c>
      <c r="L300">
        <v>15</v>
      </c>
      <c r="M300" t="s">
        <v>37</v>
      </c>
      <c r="N300">
        <v>5500</v>
      </c>
      <c r="O300">
        <v>3</v>
      </c>
      <c r="P300">
        <v>16500</v>
      </c>
      <c r="Q300">
        <v>184.15</v>
      </c>
      <c r="R300" t="s">
        <v>46</v>
      </c>
      <c r="S300" t="s">
        <v>47</v>
      </c>
      <c r="T300">
        <f t="shared" si="18"/>
        <v>0</v>
      </c>
      <c r="U300" t="str">
        <f t="shared" si="19"/>
        <v>13-24 Months</v>
      </c>
    </row>
    <row r="301" spans="1:21">
      <c r="A301" t="s">
        <v>555</v>
      </c>
      <c r="B301" t="s">
        <v>80</v>
      </c>
      <c r="C301" s="2" t="s">
        <v>418</v>
      </c>
      <c r="D301" s="2" t="str">
        <f t="shared" si="16"/>
        <v>Ifeanyi Garcia</v>
      </c>
      <c r="E301">
        <v>34</v>
      </c>
      <c r="F301" s="3" t="str">
        <f t="shared" si="17"/>
        <v>30-39</v>
      </c>
      <c r="G301" t="s">
        <v>210</v>
      </c>
      <c r="H301" t="s">
        <v>35</v>
      </c>
      <c r="I301" t="s">
        <v>36</v>
      </c>
      <c r="J301">
        <v>2</v>
      </c>
      <c r="K301" t="s">
        <v>27</v>
      </c>
      <c r="L301">
        <v>22</v>
      </c>
      <c r="M301" t="s">
        <v>37</v>
      </c>
      <c r="N301">
        <v>5500</v>
      </c>
      <c r="O301">
        <v>15</v>
      </c>
      <c r="P301">
        <v>82500</v>
      </c>
      <c r="Q301">
        <v>144.54</v>
      </c>
      <c r="R301" t="s">
        <v>46</v>
      </c>
      <c r="S301" t="s">
        <v>47</v>
      </c>
      <c r="T301">
        <f t="shared" si="18"/>
        <v>0</v>
      </c>
      <c r="U301" t="str">
        <f t="shared" si="19"/>
        <v>13-24 Months</v>
      </c>
    </row>
    <row r="302" spans="1:21">
      <c r="A302" t="s">
        <v>556</v>
      </c>
      <c r="B302" t="s">
        <v>80</v>
      </c>
      <c r="C302" s="2" t="s">
        <v>418</v>
      </c>
      <c r="D302" s="2" t="str">
        <f t="shared" si="16"/>
        <v>Ifeanyi Garcia</v>
      </c>
      <c r="E302">
        <v>34</v>
      </c>
      <c r="F302" s="3" t="str">
        <f t="shared" si="17"/>
        <v>30-39</v>
      </c>
      <c r="G302" t="s">
        <v>210</v>
      </c>
      <c r="H302" t="s">
        <v>51</v>
      </c>
      <c r="I302" t="s">
        <v>36</v>
      </c>
      <c r="J302">
        <v>2</v>
      </c>
      <c r="K302" t="s">
        <v>27</v>
      </c>
      <c r="L302">
        <v>22</v>
      </c>
      <c r="M302" t="s">
        <v>82</v>
      </c>
      <c r="N302">
        <v>30000</v>
      </c>
      <c r="O302">
        <v>2</v>
      </c>
      <c r="P302">
        <v>60000</v>
      </c>
      <c r="Q302">
        <v>13.9</v>
      </c>
      <c r="R302" t="s">
        <v>46</v>
      </c>
      <c r="S302" t="s">
        <v>47</v>
      </c>
      <c r="T302">
        <f t="shared" si="18"/>
        <v>0</v>
      </c>
      <c r="U302" t="str">
        <f t="shared" si="19"/>
        <v>13-24 Months</v>
      </c>
    </row>
    <row r="303" spans="1:21">
      <c r="A303" t="s">
        <v>557</v>
      </c>
      <c r="B303" t="s">
        <v>80</v>
      </c>
      <c r="C303" s="2" t="s">
        <v>558</v>
      </c>
      <c r="D303" s="2" t="str">
        <f t="shared" si="16"/>
        <v>Ifeanyi Jimenez</v>
      </c>
      <c r="E303">
        <v>18</v>
      </c>
      <c r="F303" s="3" t="str">
        <f t="shared" si="17"/>
        <v>10-19</v>
      </c>
      <c r="G303" t="s">
        <v>216</v>
      </c>
      <c r="H303" t="s">
        <v>25</v>
      </c>
      <c r="I303" t="s">
        <v>26</v>
      </c>
      <c r="J303">
        <v>2</v>
      </c>
      <c r="K303" t="s">
        <v>27</v>
      </c>
      <c r="L303">
        <v>44</v>
      </c>
      <c r="M303" t="s">
        <v>57</v>
      </c>
      <c r="N303">
        <v>4500</v>
      </c>
      <c r="O303">
        <v>13</v>
      </c>
      <c r="P303">
        <v>58500</v>
      </c>
      <c r="Q303">
        <v>46.76</v>
      </c>
      <c r="R303" t="s">
        <v>46</v>
      </c>
      <c r="S303" t="s">
        <v>47</v>
      </c>
      <c r="T303">
        <f t="shared" si="18"/>
        <v>0</v>
      </c>
      <c r="U303" t="str">
        <f t="shared" si="19"/>
        <v>24+ Months</v>
      </c>
    </row>
    <row r="304" spans="1:21">
      <c r="A304" t="s">
        <v>559</v>
      </c>
      <c r="B304" t="s">
        <v>80</v>
      </c>
      <c r="C304" s="2" t="s">
        <v>558</v>
      </c>
      <c r="D304" s="2" t="str">
        <f t="shared" si="16"/>
        <v>Ifeanyi Jimenez</v>
      </c>
      <c r="E304">
        <v>18</v>
      </c>
      <c r="F304" s="3" t="str">
        <f t="shared" si="17"/>
        <v>10-19</v>
      </c>
      <c r="G304" t="s">
        <v>216</v>
      </c>
      <c r="H304" t="s">
        <v>35</v>
      </c>
      <c r="I304" t="s">
        <v>26</v>
      </c>
      <c r="J304">
        <v>2</v>
      </c>
      <c r="K304" t="s">
        <v>27</v>
      </c>
      <c r="L304">
        <v>44</v>
      </c>
      <c r="M304" t="s">
        <v>227</v>
      </c>
      <c r="N304">
        <v>600</v>
      </c>
      <c r="O304">
        <v>14</v>
      </c>
      <c r="P304">
        <v>8400</v>
      </c>
      <c r="Q304">
        <v>37.68</v>
      </c>
      <c r="R304" t="s">
        <v>46</v>
      </c>
      <c r="S304" t="s">
        <v>47</v>
      </c>
      <c r="T304">
        <f t="shared" si="18"/>
        <v>0</v>
      </c>
      <c r="U304" t="str">
        <f t="shared" si="19"/>
        <v>24+ Months</v>
      </c>
    </row>
    <row r="305" spans="1:21">
      <c r="A305" t="s">
        <v>560</v>
      </c>
      <c r="B305" t="s">
        <v>121</v>
      </c>
      <c r="C305" s="2" t="s">
        <v>561</v>
      </c>
      <c r="D305" s="2" t="str">
        <f t="shared" si="16"/>
        <v>Kunle Nielsen</v>
      </c>
      <c r="E305">
        <v>29</v>
      </c>
      <c r="F305" s="3" t="str">
        <f t="shared" si="17"/>
        <v>20-29</v>
      </c>
      <c r="G305" t="s">
        <v>111</v>
      </c>
      <c r="H305" t="s">
        <v>35</v>
      </c>
      <c r="I305" t="s">
        <v>26</v>
      </c>
      <c r="J305">
        <v>2</v>
      </c>
      <c r="K305" t="s">
        <v>27</v>
      </c>
      <c r="L305">
        <v>24</v>
      </c>
      <c r="M305" t="s">
        <v>69</v>
      </c>
      <c r="N305">
        <v>3500</v>
      </c>
      <c r="O305">
        <v>20</v>
      </c>
      <c r="P305">
        <v>70000</v>
      </c>
      <c r="Q305">
        <v>119.6</v>
      </c>
      <c r="R305" t="s">
        <v>46</v>
      </c>
      <c r="S305" t="s">
        <v>47</v>
      </c>
      <c r="T305">
        <f t="shared" si="18"/>
        <v>0</v>
      </c>
      <c r="U305" t="str">
        <f t="shared" si="19"/>
        <v>13-24 Months</v>
      </c>
    </row>
    <row r="306" spans="1:21">
      <c r="A306" t="s">
        <v>562</v>
      </c>
      <c r="B306" t="s">
        <v>121</v>
      </c>
      <c r="C306" s="2" t="s">
        <v>561</v>
      </c>
      <c r="D306" s="2" t="str">
        <f t="shared" si="16"/>
        <v>Kunle Nielsen</v>
      </c>
      <c r="E306">
        <v>29</v>
      </c>
      <c r="F306" s="3" t="str">
        <f t="shared" si="17"/>
        <v>20-29</v>
      </c>
      <c r="G306" t="s">
        <v>111</v>
      </c>
      <c r="H306" t="s">
        <v>43</v>
      </c>
      <c r="I306" t="s">
        <v>26</v>
      </c>
      <c r="J306">
        <v>2</v>
      </c>
      <c r="K306" t="s">
        <v>27</v>
      </c>
      <c r="L306">
        <v>24</v>
      </c>
      <c r="M306" t="s">
        <v>143</v>
      </c>
      <c r="N306">
        <v>75000</v>
      </c>
      <c r="O306">
        <v>12</v>
      </c>
      <c r="P306">
        <v>900000</v>
      </c>
      <c r="Q306">
        <v>117.61</v>
      </c>
      <c r="R306" t="s">
        <v>46</v>
      </c>
      <c r="S306" t="s">
        <v>47</v>
      </c>
      <c r="T306">
        <f t="shared" si="18"/>
        <v>0</v>
      </c>
      <c r="U306" t="str">
        <f t="shared" si="19"/>
        <v>13-24 Months</v>
      </c>
    </row>
    <row r="307" spans="1:21">
      <c r="A307" t="s">
        <v>563</v>
      </c>
      <c r="B307" t="s">
        <v>146</v>
      </c>
      <c r="C307" s="2" t="s">
        <v>564</v>
      </c>
      <c r="D307" s="2" t="str">
        <f t="shared" si="16"/>
        <v>Oghene Diaz</v>
      </c>
      <c r="E307">
        <v>74</v>
      </c>
      <c r="F307" s="3" t="str">
        <f t="shared" si="17"/>
        <v>70-79</v>
      </c>
      <c r="G307" t="s">
        <v>179</v>
      </c>
      <c r="H307" t="s">
        <v>43</v>
      </c>
      <c r="I307" t="s">
        <v>36</v>
      </c>
      <c r="J307">
        <v>2</v>
      </c>
      <c r="K307" t="s">
        <v>27</v>
      </c>
      <c r="L307">
        <v>59</v>
      </c>
      <c r="M307" t="s">
        <v>45</v>
      </c>
      <c r="N307">
        <v>20000</v>
      </c>
      <c r="O307">
        <v>5</v>
      </c>
      <c r="P307">
        <v>100000</v>
      </c>
      <c r="Q307">
        <v>37.020000000000003</v>
      </c>
      <c r="R307" t="s">
        <v>46</v>
      </c>
      <c r="S307" t="s">
        <v>47</v>
      </c>
      <c r="T307">
        <f t="shared" si="18"/>
        <v>0</v>
      </c>
      <c r="U307" t="str">
        <f t="shared" si="19"/>
        <v>24+ Months</v>
      </c>
    </row>
    <row r="308" spans="1:21" hidden="1">
      <c r="A308" t="s">
        <v>565</v>
      </c>
      <c r="B308" t="s">
        <v>345</v>
      </c>
      <c r="C308" s="2" t="s">
        <v>566</v>
      </c>
      <c r="D308" s="2" t="str">
        <f t="shared" si="16"/>
        <v>Michael Wilson</v>
      </c>
      <c r="E308">
        <v>65</v>
      </c>
      <c r="F308" s="3" t="str">
        <f t="shared" si="17"/>
        <v>60-69</v>
      </c>
      <c r="G308" t="s">
        <v>151</v>
      </c>
      <c r="H308" t="s">
        <v>25</v>
      </c>
      <c r="I308" t="s">
        <v>26</v>
      </c>
      <c r="J308">
        <v>4</v>
      </c>
      <c r="K308" t="s">
        <v>155</v>
      </c>
      <c r="L308">
        <v>37</v>
      </c>
      <c r="M308" t="s">
        <v>28</v>
      </c>
      <c r="N308">
        <v>35000</v>
      </c>
      <c r="O308">
        <v>6</v>
      </c>
      <c r="P308">
        <v>210000</v>
      </c>
      <c r="Q308">
        <v>58.12</v>
      </c>
      <c r="R308" t="s">
        <v>29</v>
      </c>
      <c r="S308" t="s">
        <v>393</v>
      </c>
      <c r="T308">
        <f t="shared" si="18"/>
        <v>210000</v>
      </c>
      <c r="U308" t="str">
        <f t="shared" si="19"/>
        <v>24+ Months</v>
      </c>
    </row>
    <row r="309" spans="1:21" hidden="1">
      <c r="A309" t="s">
        <v>567</v>
      </c>
      <c r="B309" t="s">
        <v>345</v>
      </c>
      <c r="C309" s="2" t="s">
        <v>566</v>
      </c>
      <c r="D309" s="2" t="str">
        <f t="shared" si="16"/>
        <v>Michael Wilson</v>
      </c>
      <c r="E309">
        <v>65</v>
      </c>
      <c r="F309" s="3" t="str">
        <f t="shared" si="17"/>
        <v>60-69</v>
      </c>
      <c r="G309" t="s">
        <v>151</v>
      </c>
      <c r="H309" t="s">
        <v>43</v>
      </c>
      <c r="I309" t="s">
        <v>26</v>
      </c>
      <c r="J309">
        <v>4</v>
      </c>
      <c r="K309" t="s">
        <v>155</v>
      </c>
      <c r="L309">
        <v>37</v>
      </c>
      <c r="M309" t="s">
        <v>156</v>
      </c>
      <c r="N309">
        <v>25000</v>
      </c>
      <c r="O309">
        <v>20</v>
      </c>
      <c r="P309">
        <v>500000</v>
      </c>
      <c r="Q309">
        <v>168.48</v>
      </c>
      <c r="R309" t="s">
        <v>29</v>
      </c>
      <c r="S309" t="s">
        <v>393</v>
      </c>
      <c r="T309">
        <f t="shared" si="18"/>
        <v>500000</v>
      </c>
      <c r="U309" t="str">
        <f t="shared" si="19"/>
        <v>24+ Months</v>
      </c>
    </row>
    <row r="310" spans="1:21" hidden="1">
      <c r="A310" t="s">
        <v>568</v>
      </c>
      <c r="B310" t="s">
        <v>345</v>
      </c>
      <c r="C310" s="2" t="s">
        <v>566</v>
      </c>
      <c r="D310" s="2" t="str">
        <f t="shared" si="16"/>
        <v>Michael Wilson</v>
      </c>
      <c r="E310">
        <v>65</v>
      </c>
      <c r="F310" s="3" t="str">
        <f t="shared" si="17"/>
        <v>60-69</v>
      </c>
      <c r="G310" t="s">
        <v>151</v>
      </c>
      <c r="H310" t="s">
        <v>51</v>
      </c>
      <c r="I310" t="s">
        <v>26</v>
      </c>
      <c r="J310">
        <v>4</v>
      </c>
      <c r="K310" t="s">
        <v>155</v>
      </c>
      <c r="L310">
        <v>37</v>
      </c>
      <c r="M310" t="s">
        <v>52</v>
      </c>
      <c r="N310">
        <v>9000</v>
      </c>
      <c r="O310">
        <v>1</v>
      </c>
      <c r="P310">
        <v>9000</v>
      </c>
      <c r="Q310">
        <v>173.17</v>
      </c>
      <c r="R310" t="s">
        <v>29</v>
      </c>
      <c r="S310" t="s">
        <v>393</v>
      </c>
      <c r="T310">
        <f t="shared" si="18"/>
        <v>9000</v>
      </c>
      <c r="U310" t="str">
        <f t="shared" si="19"/>
        <v>24+ Months</v>
      </c>
    </row>
    <row r="311" spans="1:21">
      <c r="A311" t="s">
        <v>569</v>
      </c>
      <c r="B311" t="s">
        <v>232</v>
      </c>
      <c r="C311" s="2" t="s">
        <v>570</v>
      </c>
      <c r="D311" s="2" t="str">
        <f t="shared" si="16"/>
        <v>Grace Gallegos</v>
      </c>
      <c r="E311">
        <v>33</v>
      </c>
      <c r="F311" s="3" t="str">
        <f t="shared" si="17"/>
        <v>30-39</v>
      </c>
      <c r="G311" t="s">
        <v>162</v>
      </c>
      <c r="H311" t="s">
        <v>35</v>
      </c>
      <c r="I311" t="s">
        <v>36</v>
      </c>
      <c r="J311">
        <v>4</v>
      </c>
      <c r="K311" t="s">
        <v>155</v>
      </c>
      <c r="L311">
        <v>36</v>
      </c>
      <c r="M311" t="s">
        <v>227</v>
      </c>
      <c r="N311">
        <v>600</v>
      </c>
      <c r="O311">
        <v>1</v>
      </c>
      <c r="P311">
        <v>600</v>
      </c>
      <c r="Q311">
        <v>16.989999999999998</v>
      </c>
      <c r="R311" t="s">
        <v>46</v>
      </c>
      <c r="S311" t="s">
        <v>47</v>
      </c>
      <c r="T311">
        <f t="shared" si="18"/>
        <v>0</v>
      </c>
      <c r="U311" t="str">
        <f t="shared" si="19"/>
        <v>24+ Months</v>
      </c>
    </row>
    <row r="312" spans="1:21">
      <c r="A312" t="s">
        <v>571</v>
      </c>
      <c r="B312" t="s">
        <v>232</v>
      </c>
      <c r="C312" s="2" t="s">
        <v>570</v>
      </c>
      <c r="D312" s="2" t="str">
        <f t="shared" si="16"/>
        <v>Grace Gallegos</v>
      </c>
      <c r="E312">
        <v>33</v>
      </c>
      <c r="F312" s="3" t="str">
        <f t="shared" si="17"/>
        <v>30-39</v>
      </c>
      <c r="G312" t="s">
        <v>162</v>
      </c>
      <c r="H312" t="s">
        <v>25</v>
      </c>
      <c r="I312" t="s">
        <v>36</v>
      </c>
      <c r="J312">
        <v>4</v>
      </c>
      <c r="K312" t="s">
        <v>155</v>
      </c>
      <c r="L312">
        <v>36</v>
      </c>
      <c r="M312" t="s">
        <v>57</v>
      </c>
      <c r="N312">
        <v>4500</v>
      </c>
      <c r="O312">
        <v>9</v>
      </c>
      <c r="P312">
        <v>40500</v>
      </c>
      <c r="Q312">
        <v>58.77</v>
      </c>
      <c r="R312" t="s">
        <v>46</v>
      </c>
      <c r="S312" t="s">
        <v>47</v>
      </c>
      <c r="T312">
        <f t="shared" si="18"/>
        <v>0</v>
      </c>
      <c r="U312" t="str">
        <f t="shared" si="19"/>
        <v>24+ Months</v>
      </c>
    </row>
    <row r="313" spans="1:21">
      <c r="A313" t="s">
        <v>572</v>
      </c>
      <c r="B313" t="s">
        <v>59</v>
      </c>
      <c r="C313" s="2" t="s">
        <v>573</v>
      </c>
      <c r="D313" s="2" t="str">
        <f t="shared" si="16"/>
        <v>Nura Jackson</v>
      </c>
      <c r="E313">
        <v>52</v>
      </c>
      <c r="F313" s="3" t="str">
        <f t="shared" si="17"/>
        <v>50-59</v>
      </c>
      <c r="G313" t="s">
        <v>34</v>
      </c>
      <c r="H313" t="s">
        <v>51</v>
      </c>
      <c r="I313" t="s">
        <v>36</v>
      </c>
      <c r="J313">
        <v>5</v>
      </c>
      <c r="K313" t="s">
        <v>68</v>
      </c>
      <c r="L313">
        <v>37</v>
      </c>
      <c r="M313" t="s">
        <v>78</v>
      </c>
      <c r="N313">
        <v>24000</v>
      </c>
      <c r="O313">
        <v>2</v>
      </c>
      <c r="P313">
        <v>48000</v>
      </c>
      <c r="Q313">
        <v>164.61</v>
      </c>
      <c r="R313" t="s">
        <v>46</v>
      </c>
      <c r="S313" t="s">
        <v>47</v>
      </c>
      <c r="T313">
        <f t="shared" si="18"/>
        <v>0</v>
      </c>
      <c r="U313" t="str">
        <f t="shared" si="19"/>
        <v>24+ Months</v>
      </c>
    </row>
    <row r="314" spans="1:21">
      <c r="A314" t="s">
        <v>574</v>
      </c>
      <c r="B314" t="s">
        <v>59</v>
      </c>
      <c r="C314" s="2" t="s">
        <v>573</v>
      </c>
      <c r="D314" s="2" t="str">
        <f t="shared" si="16"/>
        <v>Nura Jackson</v>
      </c>
      <c r="E314">
        <v>52</v>
      </c>
      <c r="F314" s="3" t="str">
        <f t="shared" si="17"/>
        <v>50-59</v>
      </c>
      <c r="G314" t="s">
        <v>34</v>
      </c>
      <c r="H314" t="s">
        <v>25</v>
      </c>
      <c r="I314" t="s">
        <v>36</v>
      </c>
      <c r="J314">
        <v>5</v>
      </c>
      <c r="K314" t="s">
        <v>68</v>
      </c>
      <c r="L314">
        <v>37</v>
      </c>
      <c r="M314" t="s">
        <v>28</v>
      </c>
      <c r="N314">
        <v>35000</v>
      </c>
      <c r="O314">
        <v>14</v>
      </c>
      <c r="P314">
        <v>490000</v>
      </c>
      <c r="Q314">
        <v>109.5</v>
      </c>
      <c r="R314" t="s">
        <v>46</v>
      </c>
      <c r="S314" t="s">
        <v>47</v>
      </c>
      <c r="T314">
        <f t="shared" si="18"/>
        <v>0</v>
      </c>
      <c r="U314" t="str">
        <f t="shared" si="19"/>
        <v>24+ Months</v>
      </c>
    </row>
    <row r="315" spans="1:21">
      <c r="A315" t="s">
        <v>575</v>
      </c>
      <c r="B315" t="s">
        <v>59</v>
      </c>
      <c r="C315" s="2" t="s">
        <v>573</v>
      </c>
      <c r="D315" s="2" t="str">
        <f t="shared" si="16"/>
        <v>Nura Jackson</v>
      </c>
      <c r="E315">
        <v>52</v>
      </c>
      <c r="F315" s="3" t="str">
        <f t="shared" si="17"/>
        <v>50-59</v>
      </c>
      <c r="G315" t="s">
        <v>34</v>
      </c>
      <c r="H315" t="s">
        <v>43</v>
      </c>
      <c r="I315" t="s">
        <v>36</v>
      </c>
      <c r="J315">
        <v>5</v>
      </c>
      <c r="K315" t="s">
        <v>68</v>
      </c>
      <c r="L315">
        <v>37</v>
      </c>
      <c r="M315" t="s">
        <v>45</v>
      </c>
      <c r="N315">
        <v>20000</v>
      </c>
      <c r="O315">
        <v>8</v>
      </c>
      <c r="P315">
        <v>160000</v>
      </c>
      <c r="Q315">
        <v>147.33000000000001</v>
      </c>
      <c r="R315" t="s">
        <v>46</v>
      </c>
      <c r="S315" t="s">
        <v>47</v>
      </c>
      <c r="T315">
        <f t="shared" si="18"/>
        <v>0</v>
      </c>
      <c r="U315" t="str">
        <f t="shared" si="19"/>
        <v>24+ Months</v>
      </c>
    </row>
    <row r="316" spans="1:21">
      <c r="A316" t="s">
        <v>576</v>
      </c>
      <c r="B316" t="s">
        <v>169</v>
      </c>
      <c r="C316" s="2" t="s">
        <v>564</v>
      </c>
      <c r="D316" s="2" t="str">
        <f t="shared" si="16"/>
        <v>Maryam Diaz</v>
      </c>
      <c r="E316">
        <v>20</v>
      </c>
      <c r="F316" s="3" t="str">
        <f t="shared" si="17"/>
        <v>20-29</v>
      </c>
      <c r="G316" t="s">
        <v>272</v>
      </c>
      <c r="H316" t="s">
        <v>35</v>
      </c>
      <c r="I316" t="s">
        <v>36</v>
      </c>
      <c r="J316">
        <v>4</v>
      </c>
      <c r="K316" t="s">
        <v>155</v>
      </c>
      <c r="L316">
        <v>23</v>
      </c>
      <c r="M316" t="s">
        <v>57</v>
      </c>
      <c r="N316">
        <v>4500</v>
      </c>
      <c r="O316">
        <v>19</v>
      </c>
      <c r="P316">
        <v>85500</v>
      </c>
      <c r="Q316">
        <v>162.24</v>
      </c>
      <c r="R316" t="s">
        <v>46</v>
      </c>
      <c r="S316" t="s">
        <v>47</v>
      </c>
      <c r="T316">
        <f t="shared" si="18"/>
        <v>0</v>
      </c>
      <c r="U316" t="str">
        <f t="shared" si="19"/>
        <v>13-24 Months</v>
      </c>
    </row>
    <row r="317" spans="1:21">
      <c r="A317" t="s">
        <v>577</v>
      </c>
      <c r="B317" t="s">
        <v>146</v>
      </c>
      <c r="C317" s="2" t="s">
        <v>578</v>
      </c>
      <c r="D317" s="2" t="str">
        <f t="shared" si="16"/>
        <v>Oghene Allison</v>
      </c>
      <c r="E317">
        <v>70</v>
      </c>
      <c r="F317" s="3" t="str">
        <f t="shared" si="17"/>
        <v>70-79</v>
      </c>
      <c r="G317" t="s">
        <v>34</v>
      </c>
      <c r="H317" t="s">
        <v>43</v>
      </c>
      <c r="I317" t="s">
        <v>26</v>
      </c>
      <c r="J317">
        <v>2</v>
      </c>
      <c r="K317" t="s">
        <v>27</v>
      </c>
      <c r="L317">
        <v>51</v>
      </c>
      <c r="M317" t="s">
        <v>82</v>
      </c>
      <c r="N317">
        <v>30000</v>
      </c>
      <c r="O317">
        <v>10</v>
      </c>
      <c r="P317">
        <v>300000</v>
      </c>
      <c r="Q317">
        <v>65.069999999999993</v>
      </c>
      <c r="R317" t="s">
        <v>46</v>
      </c>
      <c r="S317" t="s">
        <v>47</v>
      </c>
      <c r="T317">
        <f t="shared" si="18"/>
        <v>0</v>
      </c>
      <c r="U317" t="str">
        <f t="shared" si="19"/>
        <v>24+ Months</v>
      </c>
    </row>
    <row r="318" spans="1:21">
      <c r="A318" t="s">
        <v>579</v>
      </c>
      <c r="B318" t="s">
        <v>146</v>
      </c>
      <c r="C318" s="2" t="s">
        <v>578</v>
      </c>
      <c r="D318" s="2" t="str">
        <f t="shared" si="16"/>
        <v>Oghene Allison</v>
      </c>
      <c r="E318">
        <v>70</v>
      </c>
      <c r="F318" s="3" t="str">
        <f t="shared" si="17"/>
        <v>70-79</v>
      </c>
      <c r="G318" t="s">
        <v>34</v>
      </c>
      <c r="H318" t="s">
        <v>35</v>
      </c>
      <c r="I318" t="s">
        <v>26</v>
      </c>
      <c r="J318">
        <v>2</v>
      </c>
      <c r="K318" t="s">
        <v>27</v>
      </c>
      <c r="L318">
        <v>51</v>
      </c>
      <c r="M318" t="s">
        <v>49</v>
      </c>
      <c r="N318">
        <v>500</v>
      </c>
      <c r="O318">
        <v>17</v>
      </c>
      <c r="P318">
        <v>8500</v>
      </c>
      <c r="Q318">
        <v>114.76</v>
      </c>
      <c r="R318" t="s">
        <v>46</v>
      </c>
      <c r="S318" t="s">
        <v>47</v>
      </c>
      <c r="T318">
        <f t="shared" si="18"/>
        <v>0</v>
      </c>
      <c r="U318" t="str">
        <f t="shared" si="19"/>
        <v>24+ Months</v>
      </c>
    </row>
    <row r="319" spans="1:21">
      <c r="A319" t="s">
        <v>580</v>
      </c>
      <c r="B319" t="s">
        <v>146</v>
      </c>
      <c r="C319" s="2" t="s">
        <v>578</v>
      </c>
      <c r="D319" s="2" t="str">
        <f t="shared" si="16"/>
        <v>Oghene Allison</v>
      </c>
      <c r="E319">
        <v>70</v>
      </c>
      <c r="F319" s="3" t="str">
        <f t="shared" si="17"/>
        <v>70-79</v>
      </c>
      <c r="G319" t="s">
        <v>34</v>
      </c>
      <c r="H319" t="s">
        <v>25</v>
      </c>
      <c r="I319" t="s">
        <v>26</v>
      </c>
      <c r="J319">
        <v>2</v>
      </c>
      <c r="K319" t="s">
        <v>27</v>
      </c>
      <c r="L319">
        <v>51</v>
      </c>
      <c r="M319" t="s">
        <v>73</v>
      </c>
      <c r="N319">
        <v>16000</v>
      </c>
      <c r="O319">
        <v>14</v>
      </c>
      <c r="P319">
        <v>224000</v>
      </c>
      <c r="Q319">
        <v>27.55</v>
      </c>
      <c r="R319" t="s">
        <v>46</v>
      </c>
      <c r="S319" t="s">
        <v>47</v>
      </c>
      <c r="T319">
        <f t="shared" si="18"/>
        <v>0</v>
      </c>
      <c r="U319" t="str">
        <f t="shared" si="19"/>
        <v>24+ Months</v>
      </c>
    </row>
    <row r="320" spans="1:21">
      <c r="A320" t="s">
        <v>581</v>
      </c>
      <c r="B320" t="s">
        <v>447</v>
      </c>
      <c r="C320" s="2" t="s">
        <v>582</v>
      </c>
      <c r="D320" s="2" t="str">
        <f t="shared" si="16"/>
        <v>Sade Suarez</v>
      </c>
      <c r="E320">
        <v>51</v>
      </c>
      <c r="F320" s="3" t="str">
        <f t="shared" si="17"/>
        <v>50-59</v>
      </c>
      <c r="G320" t="s">
        <v>194</v>
      </c>
      <c r="H320" t="s">
        <v>35</v>
      </c>
      <c r="I320" t="s">
        <v>26</v>
      </c>
      <c r="J320">
        <v>3</v>
      </c>
      <c r="K320" t="s">
        <v>62</v>
      </c>
      <c r="L320">
        <v>16</v>
      </c>
      <c r="M320" t="s">
        <v>49</v>
      </c>
      <c r="N320">
        <v>500</v>
      </c>
      <c r="O320">
        <v>13</v>
      </c>
      <c r="P320">
        <v>6500</v>
      </c>
      <c r="Q320">
        <v>125.75</v>
      </c>
      <c r="R320" t="s">
        <v>46</v>
      </c>
      <c r="S320" t="s">
        <v>47</v>
      </c>
      <c r="T320">
        <f t="shared" si="18"/>
        <v>0</v>
      </c>
      <c r="U320" t="str">
        <f t="shared" si="19"/>
        <v>13-24 Months</v>
      </c>
    </row>
    <row r="321" spans="1:21">
      <c r="A321" t="s">
        <v>583</v>
      </c>
      <c r="B321" t="s">
        <v>447</v>
      </c>
      <c r="C321" s="2" t="s">
        <v>582</v>
      </c>
      <c r="D321" s="2" t="str">
        <f t="shared" si="16"/>
        <v>Sade Suarez</v>
      </c>
      <c r="E321">
        <v>51</v>
      </c>
      <c r="F321" s="3" t="str">
        <f t="shared" si="17"/>
        <v>50-59</v>
      </c>
      <c r="G321" t="s">
        <v>194</v>
      </c>
      <c r="H321" t="s">
        <v>25</v>
      </c>
      <c r="I321" t="s">
        <v>26</v>
      </c>
      <c r="J321">
        <v>3</v>
      </c>
      <c r="K321" t="s">
        <v>62</v>
      </c>
      <c r="L321">
        <v>16</v>
      </c>
      <c r="M321" t="s">
        <v>28</v>
      </c>
      <c r="N321">
        <v>35000</v>
      </c>
      <c r="O321">
        <v>3</v>
      </c>
      <c r="P321">
        <v>105000</v>
      </c>
      <c r="Q321">
        <v>15.57</v>
      </c>
      <c r="R321" t="s">
        <v>46</v>
      </c>
      <c r="S321" t="s">
        <v>47</v>
      </c>
      <c r="T321">
        <f t="shared" si="18"/>
        <v>0</v>
      </c>
      <c r="U321" t="str">
        <f t="shared" si="19"/>
        <v>13-24 Months</v>
      </c>
    </row>
    <row r="322" spans="1:21">
      <c r="A322" t="s">
        <v>584</v>
      </c>
      <c r="B322" t="s">
        <v>447</v>
      </c>
      <c r="C322" s="2" t="s">
        <v>582</v>
      </c>
      <c r="D322" s="2" t="str">
        <f t="shared" si="16"/>
        <v>Sade Suarez</v>
      </c>
      <c r="E322">
        <v>51</v>
      </c>
      <c r="F322" s="3" t="str">
        <f t="shared" si="17"/>
        <v>50-59</v>
      </c>
      <c r="G322" t="s">
        <v>194</v>
      </c>
      <c r="H322" t="s">
        <v>51</v>
      </c>
      <c r="I322" t="s">
        <v>26</v>
      </c>
      <c r="J322">
        <v>3</v>
      </c>
      <c r="K322" t="s">
        <v>62</v>
      </c>
      <c r="L322">
        <v>16</v>
      </c>
      <c r="M322" t="s">
        <v>91</v>
      </c>
      <c r="N322">
        <v>14500</v>
      </c>
      <c r="O322">
        <v>9</v>
      </c>
      <c r="P322">
        <v>130500</v>
      </c>
      <c r="Q322">
        <v>103.36</v>
      </c>
      <c r="R322" t="s">
        <v>46</v>
      </c>
      <c r="S322" t="s">
        <v>47</v>
      </c>
      <c r="T322">
        <f t="shared" si="18"/>
        <v>0</v>
      </c>
      <c r="U322" t="str">
        <f t="shared" si="19"/>
        <v>13-24 Months</v>
      </c>
    </row>
    <row r="323" spans="1:21">
      <c r="A323" t="s">
        <v>585</v>
      </c>
      <c r="B323" t="s">
        <v>54</v>
      </c>
      <c r="C323" s="2" t="s">
        <v>586</v>
      </c>
      <c r="D323" s="2" t="str">
        <f t="shared" ref="D323:D386" si="20">B323&amp;" "&amp;C323</f>
        <v>Ejiro Thomas</v>
      </c>
      <c r="E323">
        <v>74</v>
      </c>
      <c r="F323" s="3" t="str">
        <f t="shared" ref="F323:F386" si="21">FLOOR(E323, 10)&amp;"-"&amp;FLOOR(E323, 10)+9</f>
        <v>70-79</v>
      </c>
      <c r="G323" t="s">
        <v>117</v>
      </c>
      <c r="H323" t="s">
        <v>43</v>
      </c>
      <c r="I323" t="s">
        <v>36</v>
      </c>
      <c r="J323">
        <v>1</v>
      </c>
      <c r="K323" t="s">
        <v>44</v>
      </c>
      <c r="L323">
        <v>38</v>
      </c>
      <c r="M323" t="s">
        <v>143</v>
      </c>
      <c r="N323">
        <v>75000</v>
      </c>
      <c r="O323">
        <v>14</v>
      </c>
      <c r="P323">
        <v>1050000</v>
      </c>
      <c r="Q323">
        <v>43.96</v>
      </c>
      <c r="R323" t="s">
        <v>46</v>
      </c>
      <c r="S323" t="s">
        <v>47</v>
      </c>
      <c r="T323">
        <f t="shared" ref="T323:T386" si="22">IF(R323="Yes",P323,0)</f>
        <v>0</v>
      </c>
      <c r="U323" t="str">
        <f t="shared" ref="U323:U386" si="23">IF(L323&lt;=6,"0-6 Months",
IF(L323&lt;=12,"7-12 Months",
IF(L323&lt;=24,"13-24 Months","24+ Months")))</f>
        <v>24+ Months</v>
      </c>
    </row>
    <row r="324" spans="1:21">
      <c r="A324" t="s">
        <v>587</v>
      </c>
      <c r="B324" t="s">
        <v>54</v>
      </c>
      <c r="C324" s="2" t="s">
        <v>586</v>
      </c>
      <c r="D324" s="2" t="str">
        <f t="shared" si="20"/>
        <v>Ejiro Thomas</v>
      </c>
      <c r="E324">
        <v>74</v>
      </c>
      <c r="F324" s="3" t="str">
        <f t="shared" si="21"/>
        <v>70-79</v>
      </c>
      <c r="G324" t="s">
        <v>117</v>
      </c>
      <c r="H324" t="s">
        <v>51</v>
      </c>
      <c r="I324" t="s">
        <v>36</v>
      </c>
      <c r="J324">
        <v>1</v>
      </c>
      <c r="K324" t="s">
        <v>44</v>
      </c>
      <c r="L324">
        <v>38</v>
      </c>
      <c r="M324" t="s">
        <v>45</v>
      </c>
      <c r="N324">
        <v>20000</v>
      </c>
      <c r="O324">
        <v>11</v>
      </c>
      <c r="P324">
        <v>220000</v>
      </c>
      <c r="Q324">
        <v>99.2</v>
      </c>
      <c r="R324" t="s">
        <v>46</v>
      </c>
      <c r="S324" t="s">
        <v>47</v>
      </c>
      <c r="T324">
        <f t="shared" si="22"/>
        <v>0</v>
      </c>
      <c r="U324" t="str">
        <f t="shared" si="23"/>
        <v>24+ Months</v>
      </c>
    </row>
    <row r="325" spans="1:21" hidden="1">
      <c r="A325" t="s">
        <v>588</v>
      </c>
      <c r="B325" t="s">
        <v>115</v>
      </c>
      <c r="C325" s="2" t="s">
        <v>589</v>
      </c>
      <c r="D325" s="2" t="str">
        <f t="shared" si="20"/>
        <v>Abubakar Weiss</v>
      </c>
      <c r="E325">
        <v>59</v>
      </c>
      <c r="F325" s="3" t="str">
        <f t="shared" si="21"/>
        <v>50-59</v>
      </c>
      <c r="G325" t="s">
        <v>194</v>
      </c>
      <c r="H325" t="s">
        <v>51</v>
      </c>
      <c r="I325" t="s">
        <v>36</v>
      </c>
      <c r="J325">
        <v>1</v>
      </c>
      <c r="K325" t="s">
        <v>44</v>
      </c>
      <c r="L325">
        <v>51</v>
      </c>
      <c r="M325" t="s">
        <v>45</v>
      </c>
      <c r="N325">
        <v>20000</v>
      </c>
      <c r="O325">
        <v>1</v>
      </c>
      <c r="P325">
        <v>20000</v>
      </c>
      <c r="Q325">
        <v>88.54</v>
      </c>
      <c r="R325" t="s">
        <v>29</v>
      </c>
      <c r="S325" t="s">
        <v>393</v>
      </c>
      <c r="T325">
        <f t="shared" si="22"/>
        <v>20000</v>
      </c>
      <c r="U325" t="str">
        <f t="shared" si="23"/>
        <v>24+ Months</v>
      </c>
    </row>
    <row r="326" spans="1:21" hidden="1">
      <c r="A326" t="s">
        <v>590</v>
      </c>
      <c r="B326" t="s">
        <v>115</v>
      </c>
      <c r="C326" s="2" t="s">
        <v>589</v>
      </c>
      <c r="D326" s="2" t="str">
        <f t="shared" si="20"/>
        <v>Abubakar Weiss</v>
      </c>
      <c r="E326">
        <v>59</v>
      </c>
      <c r="F326" s="3" t="str">
        <f t="shared" si="21"/>
        <v>50-59</v>
      </c>
      <c r="G326" t="s">
        <v>194</v>
      </c>
      <c r="H326" t="s">
        <v>35</v>
      </c>
      <c r="I326" t="s">
        <v>36</v>
      </c>
      <c r="J326">
        <v>1</v>
      </c>
      <c r="K326" t="s">
        <v>44</v>
      </c>
      <c r="L326">
        <v>51</v>
      </c>
      <c r="M326" t="s">
        <v>113</v>
      </c>
      <c r="N326">
        <v>7500</v>
      </c>
      <c r="O326">
        <v>5</v>
      </c>
      <c r="P326">
        <v>37500</v>
      </c>
      <c r="Q326">
        <v>40.86</v>
      </c>
      <c r="R326" t="s">
        <v>29</v>
      </c>
      <c r="S326" t="s">
        <v>393</v>
      </c>
      <c r="T326">
        <f t="shared" si="22"/>
        <v>37500</v>
      </c>
      <c r="U326" t="str">
        <f t="shared" si="23"/>
        <v>24+ Months</v>
      </c>
    </row>
    <row r="327" spans="1:21" hidden="1">
      <c r="A327" t="s">
        <v>591</v>
      </c>
      <c r="B327" t="s">
        <v>169</v>
      </c>
      <c r="C327" s="2" t="s">
        <v>592</v>
      </c>
      <c r="D327" s="2" t="str">
        <f t="shared" si="20"/>
        <v>Maryam Dean</v>
      </c>
      <c r="E327">
        <v>36</v>
      </c>
      <c r="F327" s="3" t="str">
        <f t="shared" si="21"/>
        <v>30-39</v>
      </c>
      <c r="G327" t="s">
        <v>263</v>
      </c>
      <c r="H327" t="s">
        <v>25</v>
      </c>
      <c r="I327" t="s">
        <v>26</v>
      </c>
      <c r="J327">
        <v>3</v>
      </c>
      <c r="K327" t="s">
        <v>62</v>
      </c>
      <c r="L327">
        <v>42</v>
      </c>
      <c r="M327" t="s">
        <v>63</v>
      </c>
      <c r="N327">
        <v>9000</v>
      </c>
      <c r="O327">
        <v>8</v>
      </c>
      <c r="P327">
        <v>72000</v>
      </c>
      <c r="Q327">
        <v>145.33000000000001</v>
      </c>
      <c r="R327" t="s">
        <v>29</v>
      </c>
      <c r="S327" t="s">
        <v>393</v>
      </c>
      <c r="T327">
        <f t="shared" si="22"/>
        <v>72000</v>
      </c>
      <c r="U327" t="str">
        <f t="shared" si="23"/>
        <v>24+ Months</v>
      </c>
    </row>
    <row r="328" spans="1:21" hidden="1">
      <c r="A328" t="s">
        <v>593</v>
      </c>
      <c r="B328" t="s">
        <v>169</v>
      </c>
      <c r="C328" s="2" t="s">
        <v>592</v>
      </c>
      <c r="D328" s="2" t="str">
        <f t="shared" si="20"/>
        <v>Maryam Dean</v>
      </c>
      <c r="E328">
        <v>36</v>
      </c>
      <c r="F328" s="3" t="str">
        <f t="shared" si="21"/>
        <v>30-39</v>
      </c>
      <c r="G328" t="s">
        <v>263</v>
      </c>
      <c r="H328" t="s">
        <v>51</v>
      </c>
      <c r="I328" t="s">
        <v>26</v>
      </c>
      <c r="J328">
        <v>3</v>
      </c>
      <c r="K328" t="s">
        <v>62</v>
      </c>
      <c r="L328">
        <v>42</v>
      </c>
      <c r="M328" t="s">
        <v>91</v>
      </c>
      <c r="N328">
        <v>14500</v>
      </c>
      <c r="O328">
        <v>4</v>
      </c>
      <c r="P328">
        <v>58000</v>
      </c>
      <c r="Q328">
        <v>131.27000000000001</v>
      </c>
      <c r="R328" t="s">
        <v>29</v>
      </c>
      <c r="S328" t="s">
        <v>393</v>
      </c>
      <c r="T328">
        <f t="shared" si="22"/>
        <v>58000</v>
      </c>
      <c r="U328" t="str">
        <f t="shared" si="23"/>
        <v>24+ Months</v>
      </c>
    </row>
    <row r="329" spans="1:21" hidden="1">
      <c r="A329" t="s">
        <v>594</v>
      </c>
      <c r="B329" t="s">
        <v>169</v>
      </c>
      <c r="C329" s="2" t="s">
        <v>592</v>
      </c>
      <c r="D329" s="2" t="str">
        <f t="shared" si="20"/>
        <v>Maryam Dean</v>
      </c>
      <c r="E329">
        <v>36</v>
      </c>
      <c r="F329" s="3" t="str">
        <f t="shared" si="21"/>
        <v>30-39</v>
      </c>
      <c r="G329" t="s">
        <v>263</v>
      </c>
      <c r="H329" t="s">
        <v>35</v>
      </c>
      <c r="I329" t="s">
        <v>26</v>
      </c>
      <c r="J329">
        <v>3</v>
      </c>
      <c r="K329" t="s">
        <v>62</v>
      </c>
      <c r="L329">
        <v>42</v>
      </c>
      <c r="M329" t="s">
        <v>137</v>
      </c>
      <c r="N329">
        <v>900</v>
      </c>
      <c r="O329">
        <v>3</v>
      </c>
      <c r="P329">
        <v>2700</v>
      </c>
      <c r="Q329">
        <v>43.08</v>
      </c>
      <c r="R329" t="s">
        <v>29</v>
      </c>
      <c r="S329" t="s">
        <v>393</v>
      </c>
      <c r="T329">
        <f t="shared" si="22"/>
        <v>2700</v>
      </c>
      <c r="U329" t="str">
        <f t="shared" si="23"/>
        <v>24+ Months</v>
      </c>
    </row>
    <row r="330" spans="1:21">
      <c r="A330" t="s">
        <v>595</v>
      </c>
      <c r="B330" t="s">
        <v>140</v>
      </c>
      <c r="C330" s="2" t="s">
        <v>596</v>
      </c>
      <c r="D330" s="2" t="str">
        <f t="shared" si="20"/>
        <v>Amaka Whitaker</v>
      </c>
      <c r="E330">
        <v>44</v>
      </c>
      <c r="F330" s="3" t="str">
        <f t="shared" si="21"/>
        <v>40-49</v>
      </c>
      <c r="G330" t="s">
        <v>96</v>
      </c>
      <c r="H330" t="s">
        <v>25</v>
      </c>
      <c r="I330" t="s">
        <v>36</v>
      </c>
      <c r="J330">
        <v>3</v>
      </c>
      <c r="K330" t="s">
        <v>62</v>
      </c>
      <c r="L330">
        <v>1</v>
      </c>
      <c r="M330" t="s">
        <v>73</v>
      </c>
      <c r="N330">
        <v>16000</v>
      </c>
      <c r="O330">
        <v>3</v>
      </c>
      <c r="P330">
        <v>48000</v>
      </c>
      <c r="Q330">
        <v>46.17</v>
      </c>
      <c r="R330" t="s">
        <v>46</v>
      </c>
      <c r="S330" t="s">
        <v>47</v>
      </c>
      <c r="T330">
        <f t="shared" si="22"/>
        <v>0</v>
      </c>
      <c r="U330" t="str">
        <f t="shared" si="23"/>
        <v>0-6 Months</v>
      </c>
    </row>
    <row r="331" spans="1:21">
      <c r="A331" t="s">
        <v>597</v>
      </c>
      <c r="B331" t="s">
        <v>140</v>
      </c>
      <c r="C331" s="2" t="s">
        <v>596</v>
      </c>
      <c r="D331" s="2" t="str">
        <f t="shared" si="20"/>
        <v>Amaka Whitaker</v>
      </c>
      <c r="E331">
        <v>44</v>
      </c>
      <c r="F331" s="3" t="str">
        <f t="shared" si="21"/>
        <v>40-49</v>
      </c>
      <c r="G331" t="s">
        <v>96</v>
      </c>
      <c r="H331" t="s">
        <v>35</v>
      </c>
      <c r="I331" t="s">
        <v>36</v>
      </c>
      <c r="J331">
        <v>3</v>
      </c>
      <c r="K331" t="s">
        <v>62</v>
      </c>
      <c r="L331">
        <v>1</v>
      </c>
      <c r="M331" t="s">
        <v>108</v>
      </c>
      <c r="N331">
        <v>1000</v>
      </c>
      <c r="O331">
        <v>12</v>
      </c>
      <c r="P331">
        <v>12000</v>
      </c>
      <c r="Q331">
        <v>21.09</v>
      </c>
      <c r="R331" t="s">
        <v>46</v>
      </c>
      <c r="S331" t="s">
        <v>47</v>
      </c>
      <c r="T331">
        <f t="shared" si="22"/>
        <v>0</v>
      </c>
      <c r="U331" t="str">
        <f t="shared" si="23"/>
        <v>0-6 Months</v>
      </c>
    </row>
    <row r="332" spans="1:21">
      <c r="A332" t="s">
        <v>598</v>
      </c>
      <c r="B332" t="s">
        <v>169</v>
      </c>
      <c r="C332" s="2" t="s">
        <v>599</v>
      </c>
      <c r="D332" s="2" t="str">
        <f t="shared" si="20"/>
        <v>Maryam Dixon</v>
      </c>
      <c r="E332">
        <v>33</v>
      </c>
      <c r="F332" s="3" t="str">
        <f t="shared" si="21"/>
        <v>30-39</v>
      </c>
      <c r="G332" t="s">
        <v>77</v>
      </c>
      <c r="H332" t="s">
        <v>25</v>
      </c>
      <c r="I332" t="s">
        <v>26</v>
      </c>
      <c r="J332">
        <v>1</v>
      </c>
      <c r="K332" t="s">
        <v>44</v>
      </c>
      <c r="L332">
        <v>42</v>
      </c>
      <c r="M332" t="s">
        <v>28</v>
      </c>
      <c r="N332">
        <v>35000</v>
      </c>
      <c r="O332">
        <v>7</v>
      </c>
      <c r="P332">
        <v>245000</v>
      </c>
      <c r="Q332">
        <v>70.56</v>
      </c>
      <c r="R332" t="s">
        <v>46</v>
      </c>
      <c r="S332" t="s">
        <v>47</v>
      </c>
      <c r="T332">
        <f t="shared" si="22"/>
        <v>0</v>
      </c>
      <c r="U332" t="str">
        <f t="shared" si="23"/>
        <v>24+ Months</v>
      </c>
    </row>
    <row r="333" spans="1:21">
      <c r="A333" t="s">
        <v>600</v>
      </c>
      <c r="B333" t="s">
        <v>134</v>
      </c>
      <c r="C333" s="2" t="s">
        <v>552</v>
      </c>
      <c r="D333" s="2" t="str">
        <f t="shared" si="20"/>
        <v>Obinna Miller</v>
      </c>
      <c r="E333">
        <v>68</v>
      </c>
      <c r="F333" s="3" t="str">
        <f t="shared" si="21"/>
        <v>60-69</v>
      </c>
      <c r="G333" t="s">
        <v>272</v>
      </c>
      <c r="H333" t="s">
        <v>35</v>
      </c>
      <c r="I333" t="s">
        <v>26</v>
      </c>
      <c r="J333">
        <v>2</v>
      </c>
      <c r="K333" t="s">
        <v>27</v>
      </c>
      <c r="L333">
        <v>6</v>
      </c>
      <c r="M333" t="s">
        <v>69</v>
      </c>
      <c r="N333">
        <v>3500</v>
      </c>
      <c r="O333">
        <v>8</v>
      </c>
      <c r="P333">
        <v>28000</v>
      </c>
      <c r="Q333">
        <v>158.32</v>
      </c>
      <c r="R333" t="s">
        <v>46</v>
      </c>
      <c r="S333" t="s">
        <v>47</v>
      </c>
      <c r="T333">
        <f t="shared" si="22"/>
        <v>0</v>
      </c>
      <c r="U333" t="str">
        <f t="shared" si="23"/>
        <v>0-6 Months</v>
      </c>
    </row>
    <row r="334" spans="1:21">
      <c r="A334" t="s">
        <v>601</v>
      </c>
      <c r="B334" t="s">
        <v>134</v>
      </c>
      <c r="C334" s="2" t="s">
        <v>552</v>
      </c>
      <c r="D334" s="2" t="str">
        <f t="shared" si="20"/>
        <v>Obinna Miller</v>
      </c>
      <c r="E334">
        <v>68</v>
      </c>
      <c r="F334" s="3" t="str">
        <f t="shared" si="21"/>
        <v>60-69</v>
      </c>
      <c r="G334" t="s">
        <v>272</v>
      </c>
      <c r="H334" t="s">
        <v>25</v>
      </c>
      <c r="I334" t="s">
        <v>26</v>
      </c>
      <c r="J334">
        <v>2</v>
      </c>
      <c r="K334" t="s">
        <v>27</v>
      </c>
      <c r="L334">
        <v>6</v>
      </c>
      <c r="M334" t="s">
        <v>63</v>
      </c>
      <c r="N334">
        <v>9000</v>
      </c>
      <c r="O334">
        <v>8</v>
      </c>
      <c r="P334">
        <v>72000</v>
      </c>
      <c r="Q334">
        <v>129.1</v>
      </c>
      <c r="R334" t="s">
        <v>46</v>
      </c>
      <c r="S334" t="s">
        <v>47</v>
      </c>
      <c r="T334">
        <f t="shared" si="22"/>
        <v>0</v>
      </c>
      <c r="U334" t="str">
        <f t="shared" si="23"/>
        <v>0-6 Months</v>
      </c>
    </row>
    <row r="335" spans="1:21">
      <c r="A335" t="s">
        <v>602</v>
      </c>
      <c r="B335" t="s">
        <v>134</v>
      </c>
      <c r="C335" s="2" t="s">
        <v>552</v>
      </c>
      <c r="D335" s="2" t="str">
        <f t="shared" si="20"/>
        <v>Obinna Miller</v>
      </c>
      <c r="E335">
        <v>68</v>
      </c>
      <c r="F335" s="3" t="str">
        <f t="shared" si="21"/>
        <v>60-69</v>
      </c>
      <c r="G335" t="s">
        <v>272</v>
      </c>
      <c r="H335" t="s">
        <v>43</v>
      </c>
      <c r="I335" t="s">
        <v>26</v>
      </c>
      <c r="J335">
        <v>2</v>
      </c>
      <c r="K335" t="s">
        <v>27</v>
      </c>
      <c r="L335">
        <v>6</v>
      </c>
      <c r="M335" t="s">
        <v>78</v>
      </c>
      <c r="N335">
        <v>24000</v>
      </c>
      <c r="O335">
        <v>1</v>
      </c>
      <c r="P335">
        <v>24000</v>
      </c>
      <c r="Q335">
        <v>155.9</v>
      </c>
      <c r="R335" t="s">
        <v>46</v>
      </c>
      <c r="S335" t="s">
        <v>47</v>
      </c>
      <c r="T335">
        <f t="shared" si="22"/>
        <v>0</v>
      </c>
      <c r="U335" t="str">
        <f t="shared" si="23"/>
        <v>0-6 Months</v>
      </c>
    </row>
    <row r="336" spans="1:21">
      <c r="A336" t="s">
        <v>603</v>
      </c>
      <c r="B336" t="s">
        <v>169</v>
      </c>
      <c r="C336" s="2" t="s">
        <v>604</v>
      </c>
      <c r="D336" s="2" t="str">
        <f t="shared" si="20"/>
        <v>Maryam Soto</v>
      </c>
      <c r="E336">
        <v>42</v>
      </c>
      <c r="F336" s="3" t="str">
        <f t="shared" si="21"/>
        <v>40-49</v>
      </c>
      <c r="G336" t="s">
        <v>96</v>
      </c>
      <c r="H336" t="s">
        <v>35</v>
      </c>
      <c r="I336" t="s">
        <v>26</v>
      </c>
      <c r="J336">
        <v>3</v>
      </c>
      <c r="K336" t="s">
        <v>62</v>
      </c>
      <c r="L336">
        <v>48</v>
      </c>
      <c r="M336" t="s">
        <v>113</v>
      </c>
      <c r="N336">
        <v>7500</v>
      </c>
      <c r="O336">
        <v>16</v>
      </c>
      <c r="P336">
        <v>120000</v>
      </c>
      <c r="Q336">
        <v>22.99</v>
      </c>
      <c r="R336" t="s">
        <v>46</v>
      </c>
      <c r="S336" t="s">
        <v>47</v>
      </c>
      <c r="T336">
        <f t="shared" si="22"/>
        <v>0</v>
      </c>
      <c r="U336" t="str">
        <f t="shared" si="23"/>
        <v>24+ Months</v>
      </c>
    </row>
    <row r="337" spans="1:21">
      <c r="A337" t="s">
        <v>605</v>
      </c>
      <c r="B337" t="s">
        <v>121</v>
      </c>
      <c r="C337" s="2" t="s">
        <v>606</v>
      </c>
      <c r="D337" s="2" t="str">
        <f t="shared" si="20"/>
        <v>Kunle Jones</v>
      </c>
      <c r="E337">
        <v>17</v>
      </c>
      <c r="F337" s="3" t="str">
        <f t="shared" si="21"/>
        <v>10-19</v>
      </c>
      <c r="G337" t="s">
        <v>56</v>
      </c>
      <c r="H337" t="s">
        <v>25</v>
      </c>
      <c r="I337" t="s">
        <v>36</v>
      </c>
      <c r="J337">
        <v>5</v>
      </c>
      <c r="K337" t="s">
        <v>68</v>
      </c>
      <c r="L337">
        <v>9</v>
      </c>
      <c r="M337" t="s">
        <v>57</v>
      </c>
      <c r="N337">
        <v>4500</v>
      </c>
      <c r="O337">
        <v>1</v>
      </c>
      <c r="P337">
        <v>4500</v>
      </c>
      <c r="Q337">
        <v>117.68</v>
      </c>
      <c r="R337" t="s">
        <v>46</v>
      </c>
      <c r="S337" t="s">
        <v>47</v>
      </c>
      <c r="T337">
        <f t="shared" si="22"/>
        <v>0</v>
      </c>
      <c r="U337" t="str">
        <f t="shared" si="23"/>
        <v>7-12 Months</v>
      </c>
    </row>
    <row r="338" spans="1:21">
      <c r="A338" t="s">
        <v>607</v>
      </c>
      <c r="B338" t="s">
        <v>121</v>
      </c>
      <c r="C338" s="2" t="s">
        <v>606</v>
      </c>
      <c r="D338" s="2" t="str">
        <f t="shared" si="20"/>
        <v>Kunle Jones</v>
      </c>
      <c r="E338">
        <v>17</v>
      </c>
      <c r="F338" s="3" t="str">
        <f t="shared" si="21"/>
        <v>10-19</v>
      </c>
      <c r="G338" t="s">
        <v>56</v>
      </c>
      <c r="H338" t="s">
        <v>35</v>
      </c>
      <c r="I338" t="s">
        <v>36</v>
      </c>
      <c r="J338">
        <v>5</v>
      </c>
      <c r="K338" t="s">
        <v>68</v>
      </c>
      <c r="L338">
        <v>9</v>
      </c>
      <c r="M338" t="s">
        <v>49</v>
      </c>
      <c r="N338">
        <v>500</v>
      </c>
      <c r="O338">
        <v>2</v>
      </c>
      <c r="P338">
        <v>1000</v>
      </c>
      <c r="Q338">
        <v>43.54</v>
      </c>
      <c r="R338" t="s">
        <v>46</v>
      </c>
      <c r="S338" t="s">
        <v>47</v>
      </c>
      <c r="T338">
        <f t="shared" si="22"/>
        <v>0</v>
      </c>
      <c r="U338" t="str">
        <f t="shared" si="23"/>
        <v>7-12 Months</v>
      </c>
    </row>
    <row r="339" spans="1:21">
      <c r="A339" t="s">
        <v>608</v>
      </c>
      <c r="B339" t="s">
        <v>65</v>
      </c>
      <c r="C339" s="2" t="s">
        <v>609</v>
      </c>
      <c r="D339" s="2" t="str">
        <f t="shared" si="20"/>
        <v>Tamuno Patton</v>
      </c>
      <c r="E339">
        <v>80</v>
      </c>
      <c r="F339" s="3" t="str">
        <f t="shared" si="21"/>
        <v>80-89</v>
      </c>
      <c r="G339" t="s">
        <v>136</v>
      </c>
      <c r="H339" t="s">
        <v>35</v>
      </c>
      <c r="I339" t="s">
        <v>36</v>
      </c>
      <c r="J339">
        <v>1</v>
      </c>
      <c r="K339" t="s">
        <v>44</v>
      </c>
      <c r="L339">
        <v>28</v>
      </c>
      <c r="M339" t="s">
        <v>63</v>
      </c>
      <c r="N339">
        <v>9000</v>
      </c>
      <c r="O339">
        <v>7</v>
      </c>
      <c r="P339">
        <v>63000</v>
      </c>
      <c r="Q339">
        <v>16.260000000000002</v>
      </c>
      <c r="R339" t="s">
        <v>46</v>
      </c>
      <c r="S339" t="s">
        <v>47</v>
      </c>
      <c r="T339">
        <f t="shared" si="22"/>
        <v>0</v>
      </c>
      <c r="U339" t="str">
        <f t="shared" si="23"/>
        <v>24+ Months</v>
      </c>
    </row>
    <row r="340" spans="1:21">
      <c r="A340" t="s">
        <v>610</v>
      </c>
      <c r="B340" t="s">
        <v>65</v>
      </c>
      <c r="C340" s="2" t="s">
        <v>609</v>
      </c>
      <c r="D340" s="2" t="str">
        <f t="shared" si="20"/>
        <v>Tamuno Patton</v>
      </c>
      <c r="E340">
        <v>80</v>
      </c>
      <c r="F340" s="3" t="str">
        <f t="shared" si="21"/>
        <v>80-89</v>
      </c>
      <c r="G340" t="s">
        <v>136</v>
      </c>
      <c r="H340" t="s">
        <v>35</v>
      </c>
      <c r="I340" t="s">
        <v>36</v>
      </c>
      <c r="J340">
        <v>1</v>
      </c>
      <c r="K340" t="s">
        <v>44</v>
      </c>
      <c r="L340">
        <v>28</v>
      </c>
      <c r="M340" t="s">
        <v>227</v>
      </c>
      <c r="N340">
        <v>600</v>
      </c>
      <c r="O340">
        <v>13</v>
      </c>
      <c r="P340">
        <v>7800</v>
      </c>
      <c r="Q340">
        <v>107.51</v>
      </c>
      <c r="R340" t="s">
        <v>46</v>
      </c>
      <c r="S340" t="s">
        <v>47</v>
      </c>
      <c r="T340">
        <f t="shared" si="22"/>
        <v>0</v>
      </c>
      <c r="U340" t="str">
        <f t="shared" si="23"/>
        <v>24+ Months</v>
      </c>
    </row>
    <row r="341" spans="1:21">
      <c r="A341" t="s">
        <v>611</v>
      </c>
      <c r="B341" t="s">
        <v>65</v>
      </c>
      <c r="C341" s="2" t="s">
        <v>609</v>
      </c>
      <c r="D341" s="2" t="str">
        <f t="shared" si="20"/>
        <v>Tamuno Patton</v>
      </c>
      <c r="E341">
        <v>80</v>
      </c>
      <c r="F341" s="3" t="str">
        <f t="shared" si="21"/>
        <v>80-89</v>
      </c>
      <c r="G341" t="s">
        <v>136</v>
      </c>
      <c r="H341" t="s">
        <v>51</v>
      </c>
      <c r="I341" t="s">
        <v>36</v>
      </c>
      <c r="J341">
        <v>1</v>
      </c>
      <c r="K341" t="s">
        <v>44</v>
      </c>
      <c r="L341">
        <v>28</v>
      </c>
      <c r="M341" t="s">
        <v>78</v>
      </c>
      <c r="N341">
        <v>24000</v>
      </c>
      <c r="O341">
        <v>3</v>
      </c>
      <c r="P341">
        <v>72000</v>
      </c>
      <c r="Q341">
        <v>127.04</v>
      </c>
      <c r="R341" t="s">
        <v>46</v>
      </c>
      <c r="S341" t="s">
        <v>47</v>
      </c>
      <c r="T341">
        <f t="shared" si="22"/>
        <v>0</v>
      </c>
      <c r="U341" t="str">
        <f t="shared" si="23"/>
        <v>24+ Months</v>
      </c>
    </row>
    <row r="342" spans="1:21" hidden="1">
      <c r="A342" t="s">
        <v>612</v>
      </c>
      <c r="B342" t="s">
        <v>169</v>
      </c>
      <c r="C342" s="2" t="s">
        <v>533</v>
      </c>
      <c r="D342" s="2" t="str">
        <f t="shared" si="20"/>
        <v>Maryam Martinez</v>
      </c>
      <c r="E342">
        <v>71</v>
      </c>
      <c r="F342" s="3" t="str">
        <f t="shared" si="21"/>
        <v>70-79</v>
      </c>
      <c r="G342" t="s">
        <v>89</v>
      </c>
      <c r="H342" t="s">
        <v>51</v>
      </c>
      <c r="I342" t="s">
        <v>26</v>
      </c>
      <c r="J342">
        <v>4</v>
      </c>
      <c r="K342" t="s">
        <v>155</v>
      </c>
      <c r="L342">
        <v>16</v>
      </c>
      <c r="M342" t="s">
        <v>52</v>
      </c>
      <c r="N342">
        <v>9000</v>
      </c>
      <c r="O342">
        <v>5</v>
      </c>
      <c r="P342">
        <v>45000</v>
      </c>
      <c r="Q342">
        <v>3.03</v>
      </c>
      <c r="R342" t="s">
        <v>29</v>
      </c>
      <c r="S342" t="s">
        <v>30</v>
      </c>
      <c r="T342">
        <f t="shared" si="22"/>
        <v>45000</v>
      </c>
      <c r="U342" t="str">
        <f t="shared" si="23"/>
        <v>13-24 Months</v>
      </c>
    </row>
    <row r="343" spans="1:21" hidden="1">
      <c r="A343" t="s">
        <v>613</v>
      </c>
      <c r="B343" t="s">
        <v>169</v>
      </c>
      <c r="C343" s="2" t="s">
        <v>533</v>
      </c>
      <c r="D343" s="2" t="str">
        <f t="shared" si="20"/>
        <v>Maryam Martinez</v>
      </c>
      <c r="E343">
        <v>71</v>
      </c>
      <c r="F343" s="3" t="str">
        <f t="shared" si="21"/>
        <v>70-79</v>
      </c>
      <c r="G343" t="s">
        <v>89</v>
      </c>
      <c r="H343" t="s">
        <v>25</v>
      </c>
      <c r="I343" t="s">
        <v>26</v>
      </c>
      <c r="J343">
        <v>4</v>
      </c>
      <c r="K343" t="s">
        <v>155</v>
      </c>
      <c r="L343">
        <v>16</v>
      </c>
      <c r="M343" t="s">
        <v>73</v>
      </c>
      <c r="N343">
        <v>16000</v>
      </c>
      <c r="O343">
        <v>12</v>
      </c>
      <c r="P343">
        <v>192000</v>
      </c>
      <c r="Q343">
        <v>33.18</v>
      </c>
      <c r="R343" t="s">
        <v>29</v>
      </c>
      <c r="S343" t="s">
        <v>30</v>
      </c>
      <c r="T343">
        <f t="shared" si="22"/>
        <v>192000</v>
      </c>
      <c r="U343" t="str">
        <f t="shared" si="23"/>
        <v>13-24 Months</v>
      </c>
    </row>
    <row r="344" spans="1:21" hidden="1">
      <c r="A344" t="s">
        <v>614</v>
      </c>
      <c r="B344" t="s">
        <v>169</v>
      </c>
      <c r="C344" s="2" t="s">
        <v>533</v>
      </c>
      <c r="D344" s="2" t="str">
        <f t="shared" si="20"/>
        <v>Maryam Martinez</v>
      </c>
      <c r="E344">
        <v>71</v>
      </c>
      <c r="F344" s="3" t="str">
        <f t="shared" si="21"/>
        <v>70-79</v>
      </c>
      <c r="G344" t="s">
        <v>89</v>
      </c>
      <c r="H344" t="s">
        <v>35</v>
      </c>
      <c r="I344" t="s">
        <v>26</v>
      </c>
      <c r="J344">
        <v>4</v>
      </c>
      <c r="K344" t="s">
        <v>155</v>
      </c>
      <c r="L344">
        <v>16</v>
      </c>
      <c r="M344" t="s">
        <v>264</v>
      </c>
      <c r="N344">
        <v>6500</v>
      </c>
      <c r="O344">
        <v>9</v>
      </c>
      <c r="P344">
        <v>58500</v>
      </c>
      <c r="Q344">
        <v>103.69</v>
      </c>
      <c r="R344" t="s">
        <v>29</v>
      </c>
      <c r="S344" t="s">
        <v>30</v>
      </c>
      <c r="T344">
        <f t="shared" si="22"/>
        <v>58500</v>
      </c>
      <c r="U344" t="str">
        <f t="shared" si="23"/>
        <v>13-24 Months</v>
      </c>
    </row>
    <row r="345" spans="1:21">
      <c r="A345" t="s">
        <v>615</v>
      </c>
      <c r="B345" t="s">
        <v>192</v>
      </c>
      <c r="C345" s="2" t="s">
        <v>158</v>
      </c>
      <c r="D345" s="2" t="str">
        <f t="shared" si="20"/>
        <v>Amina Johnson</v>
      </c>
      <c r="E345">
        <v>63</v>
      </c>
      <c r="F345" s="3" t="str">
        <f t="shared" si="21"/>
        <v>60-69</v>
      </c>
      <c r="G345" t="s">
        <v>194</v>
      </c>
      <c r="H345" t="s">
        <v>43</v>
      </c>
      <c r="I345" t="s">
        <v>36</v>
      </c>
      <c r="J345">
        <v>1</v>
      </c>
      <c r="K345" t="s">
        <v>44</v>
      </c>
      <c r="L345">
        <v>47</v>
      </c>
      <c r="M345" t="s">
        <v>45</v>
      </c>
      <c r="N345">
        <v>20000</v>
      </c>
      <c r="O345">
        <v>19</v>
      </c>
      <c r="P345">
        <v>380000</v>
      </c>
      <c r="Q345">
        <v>52.96</v>
      </c>
      <c r="R345" t="s">
        <v>46</v>
      </c>
      <c r="S345" t="s">
        <v>47</v>
      </c>
      <c r="T345">
        <f t="shared" si="22"/>
        <v>0</v>
      </c>
      <c r="U345" t="str">
        <f t="shared" si="23"/>
        <v>24+ Months</v>
      </c>
    </row>
    <row r="346" spans="1:21">
      <c r="A346" t="s">
        <v>616</v>
      </c>
      <c r="B346" t="s">
        <v>192</v>
      </c>
      <c r="C346" s="2" t="s">
        <v>158</v>
      </c>
      <c r="D346" s="2" t="str">
        <f t="shared" si="20"/>
        <v>Amina Johnson</v>
      </c>
      <c r="E346">
        <v>63</v>
      </c>
      <c r="F346" s="3" t="str">
        <f t="shared" si="21"/>
        <v>60-69</v>
      </c>
      <c r="G346" t="s">
        <v>194</v>
      </c>
      <c r="H346" t="s">
        <v>35</v>
      </c>
      <c r="I346" t="s">
        <v>36</v>
      </c>
      <c r="J346">
        <v>1</v>
      </c>
      <c r="K346" t="s">
        <v>44</v>
      </c>
      <c r="L346">
        <v>47</v>
      </c>
      <c r="M346" t="s">
        <v>108</v>
      </c>
      <c r="N346">
        <v>1000</v>
      </c>
      <c r="O346">
        <v>17</v>
      </c>
      <c r="P346">
        <v>17000</v>
      </c>
      <c r="Q346">
        <v>99.48</v>
      </c>
      <c r="R346" t="s">
        <v>46</v>
      </c>
      <c r="S346" t="s">
        <v>47</v>
      </c>
      <c r="T346">
        <f t="shared" si="22"/>
        <v>0</v>
      </c>
      <c r="U346" t="str">
        <f t="shared" si="23"/>
        <v>24+ Months</v>
      </c>
    </row>
    <row r="347" spans="1:21">
      <c r="A347" t="s">
        <v>617</v>
      </c>
      <c r="B347" t="s">
        <v>54</v>
      </c>
      <c r="C347" s="2" t="s">
        <v>158</v>
      </c>
      <c r="D347" s="2" t="str">
        <f t="shared" si="20"/>
        <v>Ejiro Johnson</v>
      </c>
      <c r="E347">
        <v>23</v>
      </c>
      <c r="F347" s="3" t="str">
        <f t="shared" si="21"/>
        <v>20-29</v>
      </c>
      <c r="G347" t="s">
        <v>117</v>
      </c>
      <c r="H347" t="s">
        <v>51</v>
      </c>
      <c r="I347" t="s">
        <v>26</v>
      </c>
      <c r="J347">
        <v>3</v>
      </c>
      <c r="K347" t="s">
        <v>62</v>
      </c>
      <c r="L347">
        <v>24</v>
      </c>
      <c r="M347" t="s">
        <v>52</v>
      </c>
      <c r="N347">
        <v>9000</v>
      </c>
      <c r="O347">
        <v>1</v>
      </c>
      <c r="P347">
        <v>9000</v>
      </c>
      <c r="Q347">
        <v>171.81</v>
      </c>
      <c r="R347" t="s">
        <v>46</v>
      </c>
      <c r="S347" t="s">
        <v>47</v>
      </c>
      <c r="T347">
        <f t="shared" si="22"/>
        <v>0</v>
      </c>
      <c r="U347" t="str">
        <f t="shared" si="23"/>
        <v>13-24 Months</v>
      </c>
    </row>
    <row r="348" spans="1:21">
      <c r="A348" t="s">
        <v>618</v>
      </c>
      <c r="B348" t="s">
        <v>54</v>
      </c>
      <c r="C348" s="2" t="s">
        <v>158</v>
      </c>
      <c r="D348" s="2" t="str">
        <f t="shared" si="20"/>
        <v>Ejiro Johnson</v>
      </c>
      <c r="E348">
        <v>23</v>
      </c>
      <c r="F348" s="3" t="str">
        <f t="shared" si="21"/>
        <v>20-29</v>
      </c>
      <c r="G348" t="s">
        <v>117</v>
      </c>
      <c r="H348" t="s">
        <v>35</v>
      </c>
      <c r="I348" t="s">
        <v>26</v>
      </c>
      <c r="J348">
        <v>3</v>
      </c>
      <c r="K348" t="s">
        <v>62</v>
      </c>
      <c r="L348">
        <v>24</v>
      </c>
      <c r="M348" t="s">
        <v>93</v>
      </c>
      <c r="N348">
        <v>350</v>
      </c>
      <c r="O348">
        <v>12</v>
      </c>
      <c r="P348">
        <v>4200</v>
      </c>
      <c r="Q348">
        <v>9.67</v>
      </c>
      <c r="R348" t="s">
        <v>46</v>
      </c>
      <c r="S348" t="s">
        <v>47</v>
      </c>
      <c r="T348">
        <f t="shared" si="22"/>
        <v>0</v>
      </c>
      <c r="U348" t="str">
        <f t="shared" si="23"/>
        <v>13-24 Months</v>
      </c>
    </row>
    <row r="349" spans="1:21">
      <c r="A349" t="s">
        <v>619</v>
      </c>
      <c r="B349" t="s">
        <v>54</v>
      </c>
      <c r="C349" s="2" t="s">
        <v>158</v>
      </c>
      <c r="D349" s="2" t="str">
        <f t="shared" si="20"/>
        <v>Ejiro Johnson</v>
      </c>
      <c r="E349">
        <v>23</v>
      </c>
      <c r="F349" s="3" t="str">
        <f t="shared" si="21"/>
        <v>20-29</v>
      </c>
      <c r="G349" t="s">
        <v>117</v>
      </c>
      <c r="H349" t="s">
        <v>43</v>
      </c>
      <c r="I349" t="s">
        <v>26</v>
      </c>
      <c r="J349">
        <v>3</v>
      </c>
      <c r="K349" t="s">
        <v>62</v>
      </c>
      <c r="L349">
        <v>24</v>
      </c>
      <c r="M349" t="s">
        <v>143</v>
      </c>
      <c r="N349">
        <v>75000</v>
      </c>
      <c r="O349">
        <v>6</v>
      </c>
      <c r="P349">
        <v>450000</v>
      </c>
      <c r="Q349">
        <v>184.09</v>
      </c>
      <c r="R349" t="s">
        <v>46</v>
      </c>
      <c r="S349" t="s">
        <v>47</v>
      </c>
      <c r="T349">
        <f t="shared" si="22"/>
        <v>0</v>
      </c>
      <c r="U349" t="str">
        <f t="shared" si="23"/>
        <v>13-24 Months</v>
      </c>
    </row>
    <row r="350" spans="1:21" hidden="1">
      <c r="A350" t="s">
        <v>620</v>
      </c>
      <c r="B350" t="s">
        <v>404</v>
      </c>
      <c r="C350" s="2" t="s">
        <v>621</v>
      </c>
      <c r="D350" s="2" t="str">
        <f t="shared" si="20"/>
        <v>Bola Curtis</v>
      </c>
      <c r="E350">
        <v>69</v>
      </c>
      <c r="F350" s="3" t="str">
        <f t="shared" si="21"/>
        <v>60-69</v>
      </c>
      <c r="G350" t="s">
        <v>154</v>
      </c>
      <c r="H350" t="s">
        <v>43</v>
      </c>
      <c r="I350" t="s">
        <v>36</v>
      </c>
      <c r="J350">
        <v>3</v>
      </c>
      <c r="K350" t="s">
        <v>62</v>
      </c>
      <c r="L350">
        <v>16</v>
      </c>
      <c r="M350" t="s">
        <v>82</v>
      </c>
      <c r="N350">
        <v>30000</v>
      </c>
      <c r="O350">
        <v>17</v>
      </c>
      <c r="P350">
        <v>510000</v>
      </c>
      <c r="Q350">
        <v>45.03</v>
      </c>
      <c r="R350" t="s">
        <v>29</v>
      </c>
      <c r="S350" t="s">
        <v>97</v>
      </c>
      <c r="T350">
        <f t="shared" si="22"/>
        <v>510000</v>
      </c>
      <c r="U350" t="str">
        <f t="shared" si="23"/>
        <v>13-24 Months</v>
      </c>
    </row>
    <row r="351" spans="1:21" hidden="1">
      <c r="A351" t="s">
        <v>622</v>
      </c>
      <c r="B351" t="s">
        <v>404</v>
      </c>
      <c r="C351" s="2" t="s">
        <v>621</v>
      </c>
      <c r="D351" s="2" t="str">
        <f t="shared" si="20"/>
        <v>Bola Curtis</v>
      </c>
      <c r="E351">
        <v>69</v>
      </c>
      <c r="F351" s="3" t="str">
        <f t="shared" si="21"/>
        <v>60-69</v>
      </c>
      <c r="G351" t="s">
        <v>154</v>
      </c>
      <c r="H351" t="s">
        <v>51</v>
      </c>
      <c r="I351" t="s">
        <v>36</v>
      </c>
      <c r="J351">
        <v>3</v>
      </c>
      <c r="K351" t="s">
        <v>62</v>
      </c>
      <c r="L351">
        <v>16</v>
      </c>
      <c r="M351" t="s">
        <v>52</v>
      </c>
      <c r="N351">
        <v>9000</v>
      </c>
      <c r="O351">
        <v>3</v>
      </c>
      <c r="P351">
        <v>27000</v>
      </c>
      <c r="Q351">
        <v>190.84</v>
      </c>
      <c r="R351" t="s">
        <v>29</v>
      </c>
      <c r="S351" t="s">
        <v>97</v>
      </c>
      <c r="T351">
        <f t="shared" si="22"/>
        <v>27000</v>
      </c>
      <c r="U351" t="str">
        <f t="shared" si="23"/>
        <v>13-24 Months</v>
      </c>
    </row>
    <row r="352" spans="1:21" hidden="1">
      <c r="A352" t="s">
        <v>623</v>
      </c>
      <c r="B352" t="s">
        <v>404</v>
      </c>
      <c r="C352" s="2" t="s">
        <v>621</v>
      </c>
      <c r="D352" s="2" t="str">
        <f t="shared" si="20"/>
        <v>Bola Curtis</v>
      </c>
      <c r="E352">
        <v>69</v>
      </c>
      <c r="F352" s="3" t="str">
        <f t="shared" si="21"/>
        <v>60-69</v>
      </c>
      <c r="G352" t="s">
        <v>154</v>
      </c>
      <c r="H352" t="s">
        <v>35</v>
      </c>
      <c r="I352" t="s">
        <v>36</v>
      </c>
      <c r="J352">
        <v>3</v>
      </c>
      <c r="K352" t="s">
        <v>62</v>
      </c>
      <c r="L352">
        <v>16</v>
      </c>
      <c r="M352" t="s">
        <v>37</v>
      </c>
      <c r="N352">
        <v>5500</v>
      </c>
      <c r="O352">
        <v>10</v>
      </c>
      <c r="P352">
        <v>55000</v>
      </c>
      <c r="Q352">
        <v>173.27</v>
      </c>
      <c r="R352" t="s">
        <v>29</v>
      </c>
      <c r="S352" t="s">
        <v>97</v>
      </c>
      <c r="T352">
        <f t="shared" si="22"/>
        <v>55000</v>
      </c>
      <c r="U352" t="str">
        <f t="shared" si="23"/>
        <v>13-24 Months</v>
      </c>
    </row>
    <row r="353" spans="1:21">
      <c r="A353" t="s">
        <v>624</v>
      </c>
      <c r="B353" t="s">
        <v>166</v>
      </c>
      <c r="C353" s="2" t="s">
        <v>625</v>
      </c>
      <c r="D353" s="2" t="str">
        <f t="shared" si="20"/>
        <v>Ese Haley</v>
      </c>
      <c r="E353">
        <v>27</v>
      </c>
      <c r="F353" s="3" t="str">
        <f t="shared" si="21"/>
        <v>20-29</v>
      </c>
      <c r="G353" t="s">
        <v>42</v>
      </c>
      <c r="H353" t="s">
        <v>35</v>
      </c>
      <c r="I353" t="s">
        <v>26</v>
      </c>
      <c r="J353">
        <v>3</v>
      </c>
      <c r="K353" t="s">
        <v>62</v>
      </c>
      <c r="L353">
        <v>24</v>
      </c>
      <c r="M353" t="s">
        <v>63</v>
      </c>
      <c r="N353">
        <v>9000</v>
      </c>
      <c r="O353">
        <v>16</v>
      </c>
      <c r="P353">
        <v>144000</v>
      </c>
      <c r="Q353">
        <v>118.54</v>
      </c>
      <c r="R353" t="s">
        <v>46</v>
      </c>
      <c r="S353" t="s">
        <v>47</v>
      </c>
      <c r="T353">
        <f t="shared" si="22"/>
        <v>0</v>
      </c>
      <c r="U353" t="str">
        <f t="shared" si="23"/>
        <v>13-24 Months</v>
      </c>
    </row>
    <row r="354" spans="1:21">
      <c r="A354" t="s">
        <v>626</v>
      </c>
      <c r="B354" t="s">
        <v>166</v>
      </c>
      <c r="C354" s="2" t="s">
        <v>625</v>
      </c>
      <c r="D354" s="2" t="str">
        <f t="shared" si="20"/>
        <v>Ese Haley</v>
      </c>
      <c r="E354">
        <v>27</v>
      </c>
      <c r="F354" s="3" t="str">
        <f t="shared" si="21"/>
        <v>20-29</v>
      </c>
      <c r="G354" t="s">
        <v>42</v>
      </c>
      <c r="H354" t="s">
        <v>35</v>
      </c>
      <c r="I354" t="s">
        <v>26</v>
      </c>
      <c r="J354">
        <v>3</v>
      </c>
      <c r="K354" t="s">
        <v>62</v>
      </c>
      <c r="L354">
        <v>24</v>
      </c>
      <c r="M354" t="s">
        <v>93</v>
      </c>
      <c r="N354">
        <v>350</v>
      </c>
      <c r="O354">
        <v>18</v>
      </c>
      <c r="P354">
        <v>6300</v>
      </c>
      <c r="Q354">
        <v>146.63</v>
      </c>
      <c r="R354" t="s">
        <v>46</v>
      </c>
      <c r="S354" t="s">
        <v>47</v>
      </c>
      <c r="T354">
        <f t="shared" si="22"/>
        <v>0</v>
      </c>
      <c r="U354" t="str">
        <f t="shared" si="23"/>
        <v>13-24 Months</v>
      </c>
    </row>
    <row r="355" spans="1:21">
      <c r="A355" t="s">
        <v>627</v>
      </c>
      <c r="B355" t="s">
        <v>87</v>
      </c>
      <c r="C355" s="2" t="s">
        <v>55</v>
      </c>
      <c r="D355" s="2" t="str">
        <f t="shared" si="20"/>
        <v>Halima Walker</v>
      </c>
      <c r="E355">
        <v>35</v>
      </c>
      <c r="F355" s="3" t="str">
        <f t="shared" si="21"/>
        <v>30-39</v>
      </c>
      <c r="G355" t="s">
        <v>628</v>
      </c>
      <c r="H355" t="s">
        <v>51</v>
      </c>
      <c r="I355" t="s">
        <v>36</v>
      </c>
      <c r="J355">
        <v>5</v>
      </c>
      <c r="K355" t="s">
        <v>68</v>
      </c>
      <c r="L355">
        <v>2</v>
      </c>
      <c r="M355" t="s">
        <v>91</v>
      </c>
      <c r="N355">
        <v>14500</v>
      </c>
      <c r="O355">
        <v>10</v>
      </c>
      <c r="P355">
        <v>145000</v>
      </c>
      <c r="Q355">
        <v>169.88</v>
      </c>
      <c r="R355" t="s">
        <v>46</v>
      </c>
      <c r="S355" t="s">
        <v>47</v>
      </c>
      <c r="T355">
        <f t="shared" si="22"/>
        <v>0</v>
      </c>
      <c r="U355" t="str">
        <f t="shared" si="23"/>
        <v>0-6 Months</v>
      </c>
    </row>
    <row r="356" spans="1:21">
      <c r="A356" t="s">
        <v>629</v>
      </c>
      <c r="B356" t="s">
        <v>87</v>
      </c>
      <c r="C356" s="2" t="s">
        <v>55</v>
      </c>
      <c r="D356" s="2" t="str">
        <f t="shared" si="20"/>
        <v>Halima Walker</v>
      </c>
      <c r="E356">
        <v>35</v>
      </c>
      <c r="F356" s="3" t="str">
        <f t="shared" si="21"/>
        <v>30-39</v>
      </c>
      <c r="G356" t="s">
        <v>628</v>
      </c>
      <c r="H356" t="s">
        <v>25</v>
      </c>
      <c r="I356" t="s">
        <v>36</v>
      </c>
      <c r="J356">
        <v>5</v>
      </c>
      <c r="K356" t="s">
        <v>68</v>
      </c>
      <c r="L356">
        <v>2</v>
      </c>
      <c r="M356" t="s">
        <v>73</v>
      </c>
      <c r="N356">
        <v>16000</v>
      </c>
      <c r="O356">
        <v>8</v>
      </c>
      <c r="P356">
        <v>128000</v>
      </c>
      <c r="Q356">
        <v>41.44</v>
      </c>
      <c r="R356" t="s">
        <v>46</v>
      </c>
      <c r="S356" t="s">
        <v>47</v>
      </c>
      <c r="T356">
        <f t="shared" si="22"/>
        <v>0</v>
      </c>
      <c r="U356" t="str">
        <f t="shared" si="23"/>
        <v>0-6 Months</v>
      </c>
    </row>
    <row r="357" spans="1:21">
      <c r="A357" t="s">
        <v>630</v>
      </c>
      <c r="B357" t="s">
        <v>87</v>
      </c>
      <c r="C357" s="2" t="s">
        <v>55</v>
      </c>
      <c r="D357" s="2" t="str">
        <f t="shared" si="20"/>
        <v>Halima Walker</v>
      </c>
      <c r="E357">
        <v>35</v>
      </c>
      <c r="F357" s="3" t="str">
        <f t="shared" si="21"/>
        <v>30-39</v>
      </c>
      <c r="G357" t="s">
        <v>628</v>
      </c>
      <c r="H357" t="s">
        <v>35</v>
      </c>
      <c r="I357" t="s">
        <v>36</v>
      </c>
      <c r="J357">
        <v>5</v>
      </c>
      <c r="K357" t="s">
        <v>68</v>
      </c>
      <c r="L357">
        <v>2</v>
      </c>
      <c r="M357" t="s">
        <v>113</v>
      </c>
      <c r="N357">
        <v>7500</v>
      </c>
      <c r="O357">
        <v>2</v>
      </c>
      <c r="P357">
        <v>15000</v>
      </c>
      <c r="Q357">
        <v>98.66</v>
      </c>
      <c r="R357" t="s">
        <v>46</v>
      </c>
      <c r="S357" t="s">
        <v>47</v>
      </c>
      <c r="T357">
        <f t="shared" si="22"/>
        <v>0</v>
      </c>
      <c r="U357" t="str">
        <f t="shared" si="23"/>
        <v>0-6 Months</v>
      </c>
    </row>
    <row r="358" spans="1:21">
      <c r="A358" t="s">
        <v>631</v>
      </c>
      <c r="B358" t="s">
        <v>134</v>
      </c>
      <c r="C358" s="2" t="s">
        <v>632</v>
      </c>
      <c r="D358" s="2" t="str">
        <f t="shared" si="20"/>
        <v>Obinna Mills</v>
      </c>
      <c r="E358">
        <v>51</v>
      </c>
      <c r="F358" s="3" t="str">
        <f t="shared" si="21"/>
        <v>50-59</v>
      </c>
      <c r="G358" t="s">
        <v>415</v>
      </c>
      <c r="H358" t="s">
        <v>35</v>
      </c>
      <c r="I358" t="s">
        <v>26</v>
      </c>
      <c r="J358">
        <v>5</v>
      </c>
      <c r="K358" t="s">
        <v>68</v>
      </c>
      <c r="L358">
        <v>59</v>
      </c>
      <c r="M358" t="s">
        <v>108</v>
      </c>
      <c r="N358">
        <v>1000</v>
      </c>
      <c r="O358">
        <v>17</v>
      </c>
      <c r="P358">
        <v>17000</v>
      </c>
      <c r="Q358">
        <v>116.36</v>
      </c>
      <c r="R358" t="s">
        <v>46</v>
      </c>
      <c r="S358" t="s">
        <v>47</v>
      </c>
      <c r="T358">
        <f t="shared" si="22"/>
        <v>0</v>
      </c>
      <c r="U358" t="str">
        <f t="shared" si="23"/>
        <v>24+ Months</v>
      </c>
    </row>
    <row r="359" spans="1:21">
      <c r="A359" t="s">
        <v>633</v>
      </c>
      <c r="B359" t="s">
        <v>134</v>
      </c>
      <c r="C359" s="2" t="s">
        <v>632</v>
      </c>
      <c r="D359" s="2" t="str">
        <f t="shared" si="20"/>
        <v>Obinna Mills</v>
      </c>
      <c r="E359">
        <v>51</v>
      </c>
      <c r="F359" s="3" t="str">
        <f t="shared" si="21"/>
        <v>50-59</v>
      </c>
      <c r="G359" t="s">
        <v>415</v>
      </c>
      <c r="H359" t="s">
        <v>43</v>
      </c>
      <c r="I359" t="s">
        <v>26</v>
      </c>
      <c r="J359">
        <v>5</v>
      </c>
      <c r="K359" t="s">
        <v>68</v>
      </c>
      <c r="L359">
        <v>59</v>
      </c>
      <c r="M359" t="s">
        <v>82</v>
      </c>
      <c r="N359">
        <v>30000</v>
      </c>
      <c r="O359">
        <v>13</v>
      </c>
      <c r="P359">
        <v>390000</v>
      </c>
      <c r="Q359">
        <v>127.62</v>
      </c>
      <c r="R359" t="s">
        <v>46</v>
      </c>
      <c r="S359" t="s">
        <v>47</v>
      </c>
      <c r="T359">
        <f t="shared" si="22"/>
        <v>0</v>
      </c>
      <c r="U359" t="str">
        <f t="shared" si="23"/>
        <v>24+ Months</v>
      </c>
    </row>
    <row r="360" spans="1:21">
      <c r="A360" t="s">
        <v>634</v>
      </c>
      <c r="B360" t="s">
        <v>121</v>
      </c>
      <c r="C360" s="2" t="s">
        <v>297</v>
      </c>
      <c r="D360" s="2" t="str">
        <f t="shared" si="20"/>
        <v>Kunle Shaw</v>
      </c>
      <c r="E360">
        <v>23</v>
      </c>
      <c r="F360" s="3" t="str">
        <f t="shared" si="21"/>
        <v>20-29</v>
      </c>
      <c r="G360" t="s">
        <v>24</v>
      </c>
      <c r="H360" t="s">
        <v>43</v>
      </c>
      <c r="I360" t="s">
        <v>26</v>
      </c>
      <c r="J360">
        <v>3</v>
      </c>
      <c r="K360" t="s">
        <v>62</v>
      </c>
      <c r="L360">
        <v>16</v>
      </c>
      <c r="M360" t="s">
        <v>71</v>
      </c>
      <c r="N360">
        <v>150000</v>
      </c>
      <c r="O360">
        <v>3</v>
      </c>
      <c r="P360">
        <v>450000</v>
      </c>
      <c r="Q360">
        <v>54.76</v>
      </c>
      <c r="R360" t="s">
        <v>46</v>
      </c>
      <c r="S360" t="s">
        <v>47</v>
      </c>
      <c r="T360">
        <f t="shared" si="22"/>
        <v>0</v>
      </c>
      <c r="U360" t="str">
        <f t="shared" si="23"/>
        <v>13-24 Months</v>
      </c>
    </row>
    <row r="361" spans="1:21">
      <c r="A361" t="s">
        <v>635</v>
      </c>
      <c r="B361" t="s">
        <v>121</v>
      </c>
      <c r="C361" s="2" t="s">
        <v>297</v>
      </c>
      <c r="D361" s="2" t="str">
        <f t="shared" si="20"/>
        <v>Kunle Shaw</v>
      </c>
      <c r="E361">
        <v>23</v>
      </c>
      <c r="F361" s="3" t="str">
        <f t="shared" si="21"/>
        <v>20-29</v>
      </c>
      <c r="G361" t="s">
        <v>24</v>
      </c>
      <c r="H361" t="s">
        <v>25</v>
      </c>
      <c r="I361" t="s">
        <v>26</v>
      </c>
      <c r="J361">
        <v>3</v>
      </c>
      <c r="K361" t="s">
        <v>62</v>
      </c>
      <c r="L361">
        <v>16</v>
      </c>
      <c r="M361" t="s">
        <v>57</v>
      </c>
      <c r="N361">
        <v>4500</v>
      </c>
      <c r="O361">
        <v>19</v>
      </c>
      <c r="P361">
        <v>85500</v>
      </c>
      <c r="Q361">
        <v>27.65</v>
      </c>
      <c r="R361" t="s">
        <v>46</v>
      </c>
      <c r="S361" t="s">
        <v>47</v>
      </c>
      <c r="T361">
        <f t="shared" si="22"/>
        <v>0</v>
      </c>
      <c r="U361" t="str">
        <f t="shared" si="23"/>
        <v>13-24 Months</v>
      </c>
    </row>
    <row r="362" spans="1:21">
      <c r="A362" t="s">
        <v>636</v>
      </c>
      <c r="B362" t="s">
        <v>22</v>
      </c>
      <c r="C362" s="2" t="s">
        <v>379</v>
      </c>
      <c r="D362" s="2" t="str">
        <f t="shared" si="20"/>
        <v>Ngozi Webb</v>
      </c>
      <c r="E362">
        <v>35</v>
      </c>
      <c r="F362" s="3" t="str">
        <f t="shared" si="21"/>
        <v>30-39</v>
      </c>
      <c r="G362" t="s">
        <v>128</v>
      </c>
      <c r="H362" t="s">
        <v>43</v>
      </c>
      <c r="I362" t="s">
        <v>26</v>
      </c>
      <c r="J362">
        <v>3</v>
      </c>
      <c r="K362" t="s">
        <v>62</v>
      </c>
      <c r="L362">
        <v>29</v>
      </c>
      <c r="M362" t="s">
        <v>78</v>
      </c>
      <c r="N362">
        <v>24000</v>
      </c>
      <c r="O362">
        <v>4</v>
      </c>
      <c r="P362">
        <v>96000</v>
      </c>
      <c r="Q362">
        <v>92.94</v>
      </c>
      <c r="R362" t="s">
        <v>46</v>
      </c>
      <c r="S362" t="s">
        <v>47</v>
      </c>
      <c r="T362">
        <f t="shared" si="22"/>
        <v>0</v>
      </c>
      <c r="U362" t="str">
        <f t="shared" si="23"/>
        <v>24+ Months</v>
      </c>
    </row>
    <row r="363" spans="1:21">
      <c r="A363" t="s">
        <v>637</v>
      </c>
      <c r="B363" t="s">
        <v>22</v>
      </c>
      <c r="C363" s="2" t="s">
        <v>379</v>
      </c>
      <c r="D363" s="2" t="str">
        <f t="shared" si="20"/>
        <v>Ngozi Webb</v>
      </c>
      <c r="E363">
        <v>35</v>
      </c>
      <c r="F363" s="3" t="str">
        <f t="shared" si="21"/>
        <v>30-39</v>
      </c>
      <c r="G363" t="s">
        <v>128</v>
      </c>
      <c r="H363" t="s">
        <v>51</v>
      </c>
      <c r="I363" t="s">
        <v>26</v>
      </c>
      <c r="J363">
        <v>3</v>
      </c>
      <c r="K363" t="s">
        <v>62</v>
      </c>
      <c r="L363">
        <v>29</v>
      </c>
      <c r="M363" t="s">
        <v>52</v>
      </c>
      <c r="N363">
        <v>9000</v>
      </c>
      <c r="O363">
        <v>10</v>
      </c>
      <c r="P363">
        <v>90000</v>
      </c>
      <c r="Q363">
        <v>31.94</v>
      </c>
      <c r="R363" t="s">
        <v>46</v>
      </c>
      <c r="S363" t="s">
        <v>47</v>
      </c>
      <c r="T363">
        <f t="shared" si="22"/>
        <v>0</v>
      </c>
      <c r="U363" t="str">
        <f t="shared" si="23"/>
        <v>24+ Months</v>
      </c>
    </row>
    <row r="364" spans="1:21">
      <c r="A364" t="s">
        <v>638</v>
      </c>
      <c r="B364" t="s">
        <v>22</v>
      </c>
      <c r="C364" s="2" t="s">
        <v>379</v>
      </c>
      <c r="D364" s="2" t="str">
        <f t="shared" si="20"/>
        <v>Ngozi Webb</v>
      </c>
      <c r="E364">
        <v>35</v>
      </c>
      <c r="F364" s="3" t="str">
        <f t="shared" si="21"/>
        <v>30-39</v>
      </c>
      <c r="G364" t="s">
        <v>128</v>
      </c>
      <c r="H364" t="s">
        <v>35</v>
      </c>
      <c r="I364" t="s">
        <v>26</v>
      </c>
      <c r="J364">
        <v>3</v>
      </c>
      <c r="K364" t="s">
        <v>62</v>
      </c>
      <c r="L364">
        <v>29</v>
      </c>
      <c r="M364" t="s">
        <v>73</v>
      </c>
      <c r="N364">
        <v>16000</v>
      </c>
      <c r="O364">
        <v>11</v>
      </c>
      <c r="P364">
        <v>176000</v>
      </c>
      <c r="Q364">
        <v>43.4</v>
      </c>
      <c r="R364" t="s">
        <v>46</v>
      </c>
      <c r="S364" t="s">
        <v>47</v>
      </c>
      <c r="T364">
        <f t="shared" si="22"/>
        <v>0</v>
      </c>
      <c r="U364" t="str">
        <f t="shared" si="23"/>
        <v>24+ Months</v>
      </c>
    </row>
    <row r="365" spans="1:21" hidden="1">
      <c r="A365" t="s">
        <v>639</v>
      </c>
      <c r="B365" t="s">
        <v>134</v>
      </c>
      <c r="C365" s="2" t="s">
        <v>640</v>
      </c>
      <c r="D365" s="2" t="str">
        <f t="shared" si="20"/>
        <v>Obinna Young</v>
      </c>
      <c r="E365">
        <v>27</v>
      </c>
      <c r="F365" s="3" t="str">
        <f t="shared" si="21"/>
        <v>20-29</v>
      </c>
      <c r="G365" t="s">
        <v>89</v>
      </c>
      <c r="H365" t="s">
        <v>35</v>
      </c>
      <c r="I365" t="s">
        <v>36</v>
      </c>
      <c r="J365">
        <v>3</v>
      </c>
      <c r="K365" t="s">
        <v>62</v>
      </c>
      <c r="L365">
        <v>26</v>
      </c>
      <c r="M365" t="s">
        <v>37</v>
      </c>
      <c r="N365">
        <v>5500</v>
      </c>
      <c r="O365">
        <v>18</v>
      </c>
      <c r="P365">
        <v>99000</v>
      </c>
      <c r="Q365">
        <v>111.41</v>
      </c>
      <c r="R365" t="s">
        <v>29</v>
      </c>
      <c r="S365" t="s">
        <v>362</v>
      </c>
      <c r="T365">
        <f t="shared" si="22"/>
        <v>99000</v>
      </c>
      <c r="U365" t="str">
        <f t="shared" si="23"/>
        <v>24+ Months</v>
      </c>
    </row>
    <row r="366" spans="1:21" hidden="1">
      <c r="A366" t="s">
        <v>641</v>
      </c>
      <c r="B366" t="s">
        <v>87</v>
      </c>
      <c r="C366" s="2" t="s">
        <v>642</v>
      </c>
      <c r="D366" s="2" t="str">
        <f t="shared" si="20"/>
        <v>Halima Harrison</v>
      </c>
      <c r="E366">
        <v>28</v>
      </c>
      <c r="F366" s="3" t="str">
        <f t="shared" si="21"/>
        <v>20-29</v>
      </c>
      <c r="G366" t="s">
        <v>42</v>
      </c>
      <c r="H366" t="s">
        <v>25</v>
      </c>
      <c r="I366" t="s">
        <v>26</v>
      </c>
      <c r="J366">
        <v>1</v>
      </c>
      <c r="K366" t="s">
        <v>44</v>
      </c>
      <c r="L366">
        <v>52</v>
      </c>
      <c r="M366" t="s">
        <v>57</v>
      </c>
      <c r="N366">
        <v>4500</v>
      </c>
      <c r="O366">
        <v>12</v>
      </c>
      <c r="P366">
        <v>54000</v>
      </c>
      <c r="Q366">
        <v>164.82</v>
      </c>
      <c r="R366" t="s">
        <v>29</v>
      </c>
      <c r="S366" t="s">
        <v>38</v>
      </c>
      <c r="T366">
        <f t="shared" si="22"/>
        <v>54000</v>
      </c>
      <c r="U366" t="str">
        <f t="shared" si="23"/>
        <v>24+ Months</v>
      </c>
    </row>
    <row r="367" spans="1:21">
      <c r="A367" t="s">
        <v>643</v>
      </c>
      <c r="B367" t="s">
        <v>219</v>
      </c>
      <c r="C367" s="2" t="s">
        <v>147</v>
      </c>
      <c r="D367" s="2" t="str">
        <f t="shared" si="20"/>
        <v>Chinedu Brown</v>
      </c>
      <c r="E367">
        <v>49</v>
      </c>
      <c r="F367" s="3" t="str">
        <f t="shared" si="21"/>
        <v>40-49</v>
      </c>
      <c r="G367" t="s">
        <v>201</v>
      </c>
      <c r="H367" t="s">
        <v>43</v>
      </c>
      <c r="I367" t="s">
        <v>26</v>
      </c>
      <c r="J367">
        <v>4</v>
      </c>
      <c r="K367" t="s">
        <v>155</v>
      </c>
      <c r="L367">
        <v>5</v>
      </c>
      <c r="M367" t="s">
        <v>45</v>
      </c>
      <c r="N367">
        <v>20000</v>
      </c>
      <c r="O367">
        <v>15</v>
      </c>
      <c r="P367">
        <v>300000</v>
      </c>
      <c r="Q367">
        <v>9.02</v>
      </c>
      <c r="R367" t="s">
        <v>46</v>
      </c>
      <c r="S367" t="s">
        <v>47</v>
      </c>
      <c r="T367">
        <f t="shared" si="22"/>
        <v>0</v>
      </c>
      <c r="U367" t="str">
        <f t="shared" si="23"/>
        <v>0-6 Months</v>
      </c>
    </row>
    <row r="368" spans="1:21">
      <c r="A368" t="s">
        <v>644</v>
      </c>
      <c r="B368" t="s">
        <v>447</v>
      </c>
      <c r="C368" s="2" t="s">
        <v>645</v>
      </c>
      <c r="D368" s="2" t="str">
        <f t="shared" si="20"/>
        <v>Sade Cruz</v>
      </c>
      <c r="E368">
        <v>37</v>
      </c>
      <c r="F368" s="3" t="str">
        <f t="shared" si="21"/>
        <v>30-39</v>
      </c>
      <c r="G368" t="s">
        <v>24</v>
      </c>
      <c r="H368" t="s">
        <v>43</v>
      </c>
      <c r="I368" t="s">
        <v>36</v>
      </c>
      <c r="J368">
        <v>4</v>
      </c>
      <c r="K368" t="s">
        <v>155</v>
      </c>
      <c r="L368">
        <v>32</v>
      </c>
      <c r="M368" t="s">
        <v>91</v>
      </c>
      <c r="N368">
        <v>14500</v>
      </c>
      <c r="O368">
        <v>9</v>
      </c>
      <c r="P368">
        <v>130500</v>
      </c>
      <c r="Q368">
        <v>181.71</v>
      </c>
      <c r="R368" t="s">
        <v>46</v>
      </c>
      <c r="S368" t="s">
        <v>47</v>
      </c>
      <c r="T368">
        <f t="shared" si="22"/>
        <v>0</v>
      </c>
      <c r="U368" t="str">
        <f t="shared" si="23"/>
        <v>24+ Months</v>
      </c>
    </row>
    <row r="369" spans="1:21">
      <c r="A369" t="s">
        <v>646</v>
      </c>
      <c r="B369" t="s">
        <v>32</v>
      </c>
      <c r="C369" s="2" t="s">
        <v>200</v>
      </c>
      <c r="D369" s="2" t="str">
        <f t="shared" si="20"/>
        <v>Zainab Mcguire</v>
      </c>
      <c r="E369">
        <v>73</v>
      </c>
      <c r="F369" s="3" t="str">
        <f t="shared" si="21"/>
        <v>70-79</v>
      </c>
      <c r="G369" t="s">
        <v>67</v>
      </c>
      <c r="H369" t="s">
        <v>35</v>
      </c>
      <c r="I369" t="s">
        <v>26</v>
      </c>
      <c r="J369">
        <v>3</v>
      </c>
      <c r="K369" t="s">
        <v>62</v>
      </c>
      <c r="L369">
        <v>40</v>
      </c>
      <c r="M369" t="s">
        <v>49</v>
      </c>
      <c r="N369">
        <v>500</v>
      </c>
      <c r="O369">
        <v>14</v>
      </c>
      <c r="P369">
        <v>7000</v>
      </c>
      <c r="Q369">
        <v>76.91</v>
      </c>
      <c r="R369" t="s">
        <v>46</v>
      </c>
      <c r="S369" t="s">
        <v>47</v>
      </c>
      <c r="T369">
        <f t="shared" si="22"/>
        <v>0</v>
      </c>
      <c r="U369" t="str">
        <f t="shared" si="23"/>
        <v>24+ Months</v>
      </c>
    </row>
    <row r="370" spans="1:21">
      <c r="A370" t="s">
        <v>647</v>
      </c>
      <c r="B370" t="s">
        <v>32</v>
      </c>
      <c r="C370" s="2" t="s">
        <v>200</v>
      </c>
      <c r="D370" s="2" t="str">
        <f t="shared" si="20"/>
        <v>Zainab Mcguire</v>
      </c>
      <c r="E370">
        <v>73</v>
      </c>
      <c r="F370" s="3" t="str">
        <f t="shared" si="21"/>
        <v>70-79</v>
      </c>
      <c r="G370" t="s">
        <v>67</v>
      </c>
      <c r="H370" t="s">
        <v>51</v>
      </c>
      <c r="I370" t="s">
        <v>26</v>
      </c>
      <c r="J370">
        <v>3</v>
      </c>
      <c r="K370" t="s">
        <v>62</v>
      </c>
      <c r="L370">
        <v>40</v>
      </c>
      <c r="M370" t="s">
        <v>45</v>
      </c>
      <c r="N370">
        <v>20000</v>
      </c>
      <c r="O370">
        <v>17</v>
      </c>
      <c r="P370">
        <v>340000</v>
      </c>
      <c r="Q370">
        <v>128.71</v>
      </c>
      <c r="R370" t="s">
        <v>46</v>
      </c>
      <c r="S370" t="s">
        <v>47</v>
      </c>
      <c r="T370">
        <f t="shared" si="22"/>
        <v>0</v>
      </c>
      <c r="U370" t="str">
        <f t="shared" si="23"/>
        <v>24+ Months</v>
      </c>
    </row>
    <row r="371" spans="1:21">
      <c r="A371" t="s">
        <v>648</v>
      </c>
      <c r="B371" t="s">
        <v>32</v>
      </c>
      <c r="C371" s="2" t="s">
        <v>200</v>
      </c>
      <c r="D371" s="2" t="str">
        <f t="shared" si="20"/>
        <v>Zainab Mcguire</v>
      </c>
      <c r="E371">
        <v>73</v>
      </c>
      <c r="F371" s="3" t="str">
        <f t="shared" si="21"/>
        <v>70-79</v>
      </c>
      <c r="G371" t="s">
        <v>67</v>
      </c>
      <c r="H371" t="s">
        <v>43</v>
      </c>
      <c r="I371" t="s">
        <v>26</v>
      </c>
      <c r="J371">
        <v>3</v>
      </c>
      <c r="K371" t="s">
        <v>62</v>
      </c>
      <c r="L371">
        <v>40</v>
      </c>
      <c r="M371" t="s">
        <v>91</v>
      </c>
      <c r="N371">
        <v>14500</v>
      </c>
      <c r="O371">
        <v>18</v>
      </c>
      <c r="P371">
        <v>261000</v>
      </c>
      <c r="Q371">
        <v>126.34</v>
      </c>
      <c r="R371" t="s">
        <v>46</v>
      </c>
      <c r="S371" t="s">
        <v>47</v>
      </c>
      <c r="T371">
        <f t="shared" si="22"/>
        <v>0</v>
      </c>
      <c r="U371" t="str">
        <f t="shared" si="23"/>
        <v>24+ Months</v>
      </c>
    </row>
    <row r="372" spans="1:21">
      <c r="A372" t="s">
        <v>649</v>
      </c>
      <c r="B372" t="s">
        <v>490</v>
      </c>
      <c r="C372" s="2" t="s">
        <v>586</v>
      </c>
      <c r="D372" s="2" t="str">
        <f t="shared" si="20"/>
        <v>Funke Thomas</v>
      </c>
      <c r="E372">
        <v>64</v>
      </c>
      <c r="F372" s="3" t="str">
        <f t="shared" si="21"/>
        <v>60-69</v>
      </c>
      <c r="G372" t="s">
        <v>210</v>
      </c>
      <c r="H372" t="s">
        <v>43</v>
      </c>
      <c r="I372" t="s">
        <v>36</v>
      </c>
      <c r="J372">
        <v>3</v>
      </c>
      <c r="K372" t="s">
        <v>62</v>
      </c>
      <c r="L372">
        <v>35</v>
      </c>
      <c r="M372" t="s">
        <v>82</v>
      </c>
      <c r="N372">
        <v>30000</v>
      </c>
      <c r="O372">
        <v>20</v>
      </c>
      <c r="P372">
        <v>600000</v>
      </c>
      <c r="Q372">
        <v>5.7</v>
      </c>
      <c r="R372" t="s">
        <v>46</v>
      </c>
      <c r="S372" t="s">
        <v>47</v>
      </c>
      <c r="T372">
        <f t="shared" si="22"/>
        <v>0</v>
      </c>
      <c r="U372" t="str">
        <f t="shared" si="23"/>
        <v>24+ Months</v>
      </c>
    </row>
    <row r="373" spans="1:21">
      <c r="A373" t="s">
        <v>650</v>
      </c>
      <c r="B373" t="s">
        <v>490</v>
      </c>
      <c r="C373" s="2" t="s">
        <v>586</v>
      </c>
      <c r="D373" s="2" t="str">
        <f t="shared" si="20"/>
        <v>Funke Thomas</v>
      </c>
      <c r="E373">
        <v>64</v>
      </c>
      <c r="F373" s="3" t="str">
        <f t="shared" si="21"/>
        <v>60-69</v>
      </c>
      <c r="G373" t="s">
        <v>210</v>
      </c>
      <c r="H373" t="s">
        <v>25</v>
      </c>
      <c r="I373" t="s">
        <v>36</v>
      </c>
      <c r="J373">
        <v>3</v>
      </c>
      <c r="K373" t="s">
        <v>62</v>
      </c>
      <c r="L373">
        <v>35</v>
      </c>
      <c r="M373" t="s">
        <v>57</v>
      </c>
      <c r="N373">
        <v>4500</v>
      </c>
      <c r="O373">
        <v>9</v>
      </c>
      <c r="P373">
        <v>40500</v>
      </c>
      <c r="Q373">
        <v>6.35</v>
      </c>
      <c r="R373" t="s">
        <v>46</v>
      </c>
      <c r="S373" t="s">
        <v>47</v>
      </c>
      <c r="T373">
        <f t="shared" si="22"/>
        <v>0</v>
      </c>
      <c r="U373" t="str">
        <f t="shared" si="23"/>
        <v>24+ Months</v>
      </c>
    </row>
    <row r="374" spans="1:21">
      <c r="A374" t="s">
        <v>651</v>
      </c>
      <c r="B374" t="s">
        <v>490</v>
      </c>
      <c r="C374" s="2" t="s">
        <v>586</v>
      </c>
      <c r="D374" s="2" t="str">
        <f t="shared" si="20"/>
        <v>Funke Thomas</v>
      </c>
      <c r="E374">
        <v>64</v>
      </c>
      <c r="F374" s="3" t="str">
        <f t="shared" si="21"/>
        <v>60-69</v>
      </c>
      <c r="G374" t="s">
        <v>210</v>
      </c>
      <c r="H374" t="s">
        <v>35</v>
      </c>
      <c r="I374" t="s">
        <v>36</v>
      </c>
      <c r="J374">
        <v>3</v>
      </c>
      <c r="K374" t="s">
        <v>62</v>
      </c>
      <c r="L374">
        <v>35</v>
      </c>
      <c r="M374" t="s">
        <v>137</v>
      </c>
      <c r="N374">
        <v>900</v>
      </c>
      <c r="O374">
        <v>16</v>
      </c>
      <c r="P374">
        <v>14400</v>
      </c>
      <c r="Q374">
        <v>161.83000000000001</v>
      </c>
      <c r="R374" t="s">
        <v>46</v>
      </c>
      <c r="S374" t="s">
        <v>47</v>
      </c>
      <c r="T374">
        <f t="shared" si="22"/>
        <v>0</v>
      </c>
      <c r="U374" t="str">
        <f t="shared" si="23"/>
        <v>24+ Months</v>
      </c>
    </row>
    <row r="375" spans="1:21" hidden="1">
      <c r="A375" t="s">
        <v>652</v>
      </c>
      <c r="B375" t="s">
        <v>385</v>
      </c>
      <c r="C375" s="2" t="s">
        <v>653</v>
      </c>
      <c r="D375" s="2" t="str">
        <f t="shared" si="20"/>
        <v>Sarah Meyer</v>
      </c>
      <c r="E375">
        <v>61</v>
      </c>
      <c r="F375" s="3" t="str">
        <f t="shared" si="21"/>
        <v>60-69</v>
      </c>
      <c r="G375" t="s">
        <v>154</v>
      </c>
      <c r="H375" t="s">
        <v>51</v>
      </c>
      <c r="I375" t="s">
        <v>26</v>
      </c>
      <c r="J375">
        <v>2</v>
      </c>
      <c r="K375" t="s">
        <v>27</v>
      </c>
      <c r="L375">
        <v>7</v>
      </c>
      <c r="M375" t="s">
        <v>82</v>
      </c>
      <c r="N375">
        <v>30000</v>
      </c>
      <c r="O375">
        <v>6</v>
      </c>
      <c r="P375">
        <v>180000</v>
      </c>
      <c r="Q375">
        <v>187.07</v>
      </c>
      <c r="R375" t="s">
        <v>29</v>
      </c>
      <c r="S375" t="s">
        <v>38</v>
      </c>
      <c r="T375">
        <f t="shared" si="22"/>
        <v>180000</v>
      </c>
      <c r="U375" t="str">
        <f t="shared" si="23"/>
        <v>7-12 Months</v>
      </c>
    </row>
    <row r="376" spans="1:21" hidden="1">
      <c r="A376" t="s">
        <v>654</v>
      </c>
      <c r="B376" t="s">
        <v>385</v>
      </c>
      <c r="C376" s="2" t="s">
        <v>653</v>
      </c>
      <c r="D376" s="2" t="str">
        <f t="shared" si="20"/>
        <v>Sarah Meyer</v>
      </c>
      <c r="E376">
        <v>61</v>
      </c>
      <c r="F376" s="3" t="str">
        <f t="shared" si="21"/>
        <v>60-69</v>
      </c>
      <c r="G376" t="s">
        <v>154</v>
      </c>
      <c r="H376" t="s">
        <v>35</v>
      </c>
      <c r="I376" t="s">
        <v>26</v>
      </c>
      <c r="J376">
        <v>2</v>
      </c>
      <c r="K376" t="s">
        <v>27</v>
      </c>
      <c r="L376">
        <v>7</v>
      </c>
      <c r="M376" t="s">
        <v>227</v>
      </c>
      <c r="N376">
        <v>600</v>
      </c>
      <c r="O376">
        <v>11</v>
      </c>
      <c r="P376">
        <v>6600</v>
      </c>
      <c r="Q376">
        <v>47.69</v>
      </c>
      <c r="R376" t="s">
        <v>29</v>
      </c>
      <c r="S376" t="s">
        <v>38</v>
      </c>
      <c r="T376">
        <f t="shared" si="22"/>
        <v>6600</v>
      </c>
      <c r="U376" t="str">
        <f t="shared" si="23"/>
        <v>7-12 Months</v>
      </c>
    </row>
    <row r="377" spans="1:21" hidden="1">
      <c r="A377" t="s">
        <v>655</v>
      </c>
      <c r="B377" t="s">
        <v>385</v>
      </c>
      <c r="C377" s="2" t="s">
        <v>653</v>
      </c>
      <c r="D377" s="2" t="str">
        <f t="shared" si="20"/>
        <v>Sarah Meyer</v>
      </c>
      <c r="E377">
        <v>61</v>
      </c>
      <c r="F377" s="3" t="str">
        <f t="shared" si="21"/>
        <v>60-69</v>
      </c>
      <c r="G377" t="s">
        <v>154</v>
      </c>
      <c r="H377" t="s">
        <v>25</v>
      </c>
      <c r="I377" t="s">
        <v>26</v>
      </c>
      <c r="J377">
        <v>2</v>
      </c>
      <c r="K377" t="s">
        <v>27</v>
      </c>
      <c r="L377">
        <v>7</v>
      </c>
      <c r="M377" t="s">
        <v>63</v>
      </c>
      <c r="N377">
        <v>9000</v>
      </c>
      <c r="O377">
        <v>1</v>
      </c>
      <c r="P377">
        <v>9000</v>
      </c>
      <c r="Q377">
        <v>182.84</v>
      </c>
      <c r="R377" t="s">
        <v>29</v>
      </c>
      <c r="S377" t="s">
        <v>38</v>
      </c>
      <c r="T377">
        <f t="shared" si="22"/>
        <v>9000</v>
      </c>
      <c r="U377" t="str">
        <f t="shared" si="23"/>
        <v>7-12 Months</v>
      </c>
    </row>
    <row r="378" spans="1:21">
      <c r="A378" t="s">
        <v>656</v>
      </c>
      <c r="B378" t="s">
        <v>146</v>
      </c>
      <c r="C378" s="2" t="s">
        <v>657</v>
      </c>
      <c r="D378" s="2" t="str">
        <f t="shared" si="20"/>
        <v>Oghene Schroeder</v>
      </c>
      <c r="E378">
        <v>34</v>
      </c>
      <c r="F378" s="3" t="str">
        <f t="shared" si="21"/>
        <v>30-39</v>
      </c>
      <c r="G378" t="s">
        <v>162</v>
      </c>
      <c r="H378" t="s">
        <v>51</v>
      </c>
      <c r="I378" t="s">
        <v>36</v>
      </c>
      <c r="J378">
        <v>2</v>
      </c>
      <c r="K378" t="s">
        <v>27</v>
      </c>
      <c r="L378">
        <v>35</v>
      </c>
      <c r="M378" t="s">
        <v>45</v>
      </c>
      <c r="N378">
        <v>20000</v>
      </c>
      <c r="O378">
        <v>1</v>
      </c>
      <c r="P378">
        <v>20000</v>
      </c>
      <c r="Q378">
        <v>120.53</v>
      </c>
      <c r="R378" t="s">
        <v>46</v>
      </c>
      <c r="S378" t="s">
        <v>47</v>
      </c>
      <c r="T378">
        <f t="shared" si="22"/>
        <v>0</v>
      </c>
      <c r="U378" t="str">
        <f t="shared" si="23"/>
        <v>24+ Months</v>
      </c>
    </row>
    <row r="379" spans="1:21">
      <c r="A379" t="s">
        <v>658</v>
      </c>
      <c r="B379" t="s">
        <v>385</v>
      </c>
      <c r="C379" s="2" t="s">
        <v>586</v>
      </c>
      <c r="D379" s="2" t="str">
        <f t="shared" si="20"/>
        <v>Sarah Thomas</v>
      </c>
      <c r="E379">
        <v>77</v>
      </c>
      <c r="F379" s="3" t="str">
        <f t="shared" si="21"/>
        <v>70-79</v>
      </c>
      <c r="G379" t="s">
        <v>628</v>
      </c>
      <c r="H379" t="s">
        <v>43</v>
      </c>
      <c r="I379" t="s">
        <v>36</v>
      </c>
      <c r="J379">
        <v>2</v>
      </c>
      <c r="K379" t="s">
        <v>27</v>
      </c>
      <c r="L379">
        <v>59</v>
      </c>
      <c r="M379" t="s">
        <v>52</v>
      </c>
      <c r="N379">
        <v>9000</v>
      </c>
      <c r="O379">
        <v>19</v>
      </c>
      <c r="P379">
        <v>171000</v>
      </c>
      <c r="Q379">
        <v>4.87</v>
      </c>
      <c r="R379" t="s">
        <v>46</v>
      </c>
      <c r="S379" t="s">
        <v>47</v>
      </c>
      <c r="T379">
        <f t="shared" si="22"/>
        <v>0</v>
      </c>
      <c r="U379" t="str">
        <f t="shared" si="23"/>
        <v>24+ Months</v>
      </c>
    </row>
    <row r="380" spans="1:21">
      <c r="A380" t="s">
        <v>659</v>
      </c>
      <c r="B380" t="s">
        <v>134</v>
      </c>
      <c r="C380" s="2" t="s">
        <v>660</v>
      </c>
      <c r="D380" s="2" t="str">
        <f t="shared" si="20"/>
        <v>Obinna Dunn</v>
      </c>
      <c r="E380">
        <v>30</v>
      </c>
      <c r="F380" s="3" t="str">
        <f t="shared" si="21"/>
        <v>30-39</v>
      </c>
      <c r="G380" t="s">
        <v>96</v>
      </c>
      <c r="H380" t="s">
        <v>43</v>
      </c>
      <c r="I380" t="s">
        <v>36</v>
      </c>
      <c r="J380">
        <v>4</v>
      </c>
      <c r="K380" t="s">
        <v>155</v>
      </c>
      <c r="L380">
        <v>5</v>
      </c>
      <c r="M380" t="s">
        <v>82</v>
      </c>
      <c r="N380">
        <v>30000</v>
      </c>
      <c r="O380">
        <v>14</v>
      </c>
      <c r="P380">
        <v>420000</v>
      </c>
      <c r="Q380">
        <v>195.18</v>
      </c>
      <c r="R380" t="s">
        <v>46</v>
      </c>
      <c r="S380" t="s">
        <v>47</v>
      </c>
      <c r="T380">
        <f t="shared" si="22"/>
        <v>0</v>
      </c>
      <c r="U380" t="str">
        <f t="shared" si="23"/>
        <v>0-6 Months</v>
      </c>
    </row>
    <row r="381" spans="1:21">
      <c r="A381" t="s">
        <v>661</v>
      </c>
      <c r="B381" t="s">
        <v>134</v>
      </c>
      <c r="C381" s="2" t="s">
        <v>660</v>
      </c>
      <c r="D381" s="2" t="str">
        <f t="shared" si="20"/>
        <v>Obinna Dunn</v>
      </c>
      <c r="E381">
        <v>30</v>
      </c>
      <c r="F381" s="3" t="str">
        <f t="shared" si="21"/>
        <v>30-39</v>
      </c>
      <c r="G381" t="s">
        <v>96</v>
      </c>
      <c r="H381" t="s">
        <v>25</v>
      </c>
      <c r="I381" t="s">
        <v>36</v>
      </c>
      <c r="J381">
        <v>4</v>
      </c>
      <c r="K381" t="s">
        <v>155</v>
      </c>
      <c r="L381">
        <v>5</v>
      </c>
      <c r="M381" t="s">
        <v>28</v>
      </c>
      <c r="N381">
        <v>35000</v>
      </c>
      <c r="O381">
        <v>6</v>
      </c>
      <c r="P381">
        <v>210000</v>
      </c>
      <c r="Q381">
        <v>130.01</v>
      </c>
      <c r="R381" t="s">
        <v>46</v>
      </c>
      <c r="S381" t="s">
        <v>47</v>
      </c>
      <c r="T381">
        <f t="shared" si="22"/>
        <v>0</v>
      </c>
      <c r="U381" t="str">
        <f t="shared" si="23"/>
        <v>0-6 Months</v>
      </c>
    </row>
    <row r="382" spans="1:21" hidden="1">
      <c r="A382" t="s">
        <v>662</v>
      </c>
      <c r="B382" t="s">
        <v>146</v>
      </c>
      <c r="C382" s="2" t="s">
        <v>663</v>
      </c>
      <c r="D382" s="2" t="str">
        <f t="shared" si="20"/>
        <v>Oghene Munoz</v>
      </c>
      <c r="E382">
        <v>44</v>
      </c>
      <c r="F382" s="3" t="str">
        <f t="shared" si="21"/>
        <v>40-49</v>
      </c>
      <c r="G382" t="s">
        <v>179</v>
      </c>
      <c r="H382" t="s">
        <v>35</v>
      </c>
      <c r="I382" t="s">
        <v>36</v>
      </c>
      <c r="J382">
        <v>2</v>
      </c>
      <c r="K382" t="s">
        <v>27</v>
      </c>
      <c r="L382">
        <v>20</v>
      </c>
      <c r="M382" t="s">
        <v>227</v>
      </c>
      <c r="N382">
        <v>600</v>
      </c>
      <c r="O382">
        <v>20</v>
      </c>
      <c r="P382">
        <v>12000</v>
      </c>
      <c r="Q382">
        <v>120.68</v>
      </c>
      <c r="R382" t="s">
        <v>29</v>
      </c>
      <c r="S382" t="s">
        <v>97</v>
      </c>
      <c r="T382">
        <f t="shared" si="22"/>
        <v>12000</v>
      </c>
      <c r="U382" t="str">
        <f t="shared" si="23"/>
        <v>13-24 Months</v>
      </c>
    </row>
    <row r="383" spans="1:21" hidden="1">
      <c r="A383" t="s">
        <v>664</v>
      </c>
      <c r="B383" t="s">
        <v>146</v>
      </c>
      <c r="C383" s="2" t="s">
        <v>663</v>
      </c>
      <c r="D383" s="2" t="str">
        <f t="shared" si="20"/>
        <v>Oghene Munoz</v>
      </c>
      <c r="E383">
        <v>44</v>
      </c>
      <c r="F383" s="3" t="str">
        <f t="shared" si="21"/>
        <v>40-49</v>
      </c>
      <c r="G383" t="s">
        <v>179</v>
      </c>
      <c r="H383" t="s">
        <v>43</v>
      </c>
      <c r="I383" t="s">
        <v>36</v>
      </c>
      <c r="J383">
        <v>2</v>
      </c>
      <c r="K383" t="s">
        <v>27</v>
      </c>
      <c r="L383">
        <v>20</v>
      </c>
      <c r="M383" t="s">
        <v>91</v>
      </c>
      <c r="N383">
        <v>14500</v>
      </c>
      <c r="O383">
        <v>4</v>
      </c>
      <c r="P383">
        <v>58000</v>
      </c>
      <c r="Q383">
        <v>128.11000000000001</v>
      </c>
      <c r="R383" t="s">
        <v>29</v>
      </c>
      <c r="S383" t="s">
        <v>97</v>
      </c>
      <c r="T383">
        <f t="shared" si="22"/>
        <v>58000</v>
      </c>
      <c r="U383" t="str">
        <f t="shared" si="23"/>
        <v>13-24 Months</v>
      </c>
    </row>
    <row r="384" spans="1:21" hidden="1">
      <c r="A384" t="s">
        <v>665</v>
      </c>
      <c r="B384" t="s">
        <v>146</v>
      </c>
      <c r="C384" s="2" t="s">
        <v>663</v>
      </c>
      <c r="D384" s="2" t="str">
        <f t="shared" si="20"/>
        <v>Oghene Munoz</v>
      </c>
      <c r="E384">
        <v>44</v>
      </c>
      <c r="F384" s="3" t="str">
        <f t="shared" si="21"/>
        <v>40-49</v>
      </c>
      <c r="G384" t="s">
        <v>179</v>
      </c>
      <c r="H384" t="s">
        <v>51</v>
      </c>
      <c r="I384" t="s">
        <v>36</v>
      </c>
      <c r="J384">
        <v>2</v>
      </c>
      <c r="K384" t="s">
        <v>27</v>
      </c>
      <c r="L384">
        <v>20</v>
      </c>
      <c r="M384" t="s">
        <v>91</v>
      </c>
      <c r="N384">
        <v>14500</v>
      </c>
      <c r="O384">
        <v>3</v>
      </c>
      <c r="P384">
        <v>43500</v>
      </c>
      <c r="Q384">
        <v>28.56</v>
      </c>
      <c r="R384" t="s">
        <v>29</v>
      </c>
      <c r="S384" t="s">
        <v>97</v>
      </c>
      <c r="T384">
        <f t="shared" si="22"/>
        <v>43500</v>
      </c>
      <c r="U384" t="str">
        <f t="shared" si="23"/>
        <v>13-24 Months</v>
      </c>
    </row>
    <row r="385" spans="1:21">
      <c r="A385" t="s">
        <v>666</v>
      </c>
      <c r="B385" t="s">
        <v>87</v>
      </c>
      <c r="C385" s="2" t="s">
        <v>408</v>
      </c>
      <c r="D385" s="2" t="str">
        <f t="shared" si="20"/>
        <v>Halima Burns</v>
      </c>
      <c r="E385">
        <v>60</v>
      </c>
      <c r="F385" s="3" t="str">
        <f t="shared" si="21"/>
        <v>60-69</v>
      </c>
      <c r="G385" t="s">
        <v>353</v>
      </c>
      <c r="H385" t="s">
        <v>25</v>
      </c>
      <c r="I385" t="s">
        <v>26</v>
      </c>
      <c r="J385">
        <v>3</v>
      </c>
      <c r="K385" t="s">
        <v>62</v>
      </c>
      <c r="L385">
        <v>41</v>
      </c>
      <c r="M385" t="s">
        <v>73</v>
      </c>
      <c r="N385">
        <v>16000</v>
      </c>
      <c r="O385">
        <v>4</v>
      </c>
      <c r="P385">
        <v>64000</v>
      </c>
      <c r="Q385">
        <v>70.42</v>
      </c>
      <c r="R385" t="s">
        <v>46</v>
      </c>
      <c r="S385" t="s">
        <v>47</v>
      </c>
      <c r="T385">
        <f t="shared" si="22"/>
        <v>0</v>
      </c>
      <c r="U385" t="str">
        <f t="shared" si="23"/>
        <v>24+ Months</v>
      </c>
    </row>
    <row r="386" spans="1:21">
      <c r="A386" t="s">
        <v>667</v>
      </c>
      <c r="B386" t="s">
        <v>87</v>
      </c>
      <c r="C386" s="2" t="s">
        <v>408</v>
      </c>
      <c r="D386" s="2" t="str">
        <f t="shared" si="20"/>
        <v>Halima Burns</v>
      </c>
      <c r="E386">
        <v>60</v>
      </c>
      <c r="F386" s="3" t="str">
        <f t="shared" si="21"/>
        <v>60-69</v>
      </c>
      <c r="G386" t="s">
        <v>353</v>
      </c>
      <c r="H386" t="s">
        <v>51</v>
      </c>
      <c r="I386" t="s">
        <v>26</v>
      </c>
      <c r="J386">
        <v>3</v>
      </c>
      <c r="K386" t="s">
        <v>62</v>
      </c>
      <c r="L386">
        <v>41</v>
      </c>
      <c r="M386" t="s">
        <v>52</v>
      </c>
      <c r="N386">
        <v>9000</v>
      </c>
      <c r="O386">
        <v>15</v>
      </c>
      <c r="P386">
        <v>135000</v>
      </c>
      <c r="Q386">
        <v>10.11</v>
      </c>
      <c r="R386" t="s">
        <v>46</v>
      </c>
      <c r="S386" t="s">
        <v>47</v>
      </c>
      <c r="T386">
        <f t="shared" si="22"/>
        <v>0</v>
      </c>
      <c r="U386" t="str">
        <f t="shared" si="23"/>
        <v>24+ Months</v>
      </c>
    </row>
    <row r="387" spans="1:21">
      <c r="A387" t="s">
        <v>668</v>
      </c>
      <c r="B387" t="s">
        <v>316</v>
      </c>
      <c r="C387" s="2" t="s">
        <v>669</v>
      </c>
      <c r="D387" s="2" t="str">
        <f t="shared" ref="D387:D450" si="24">B387&amp;" "&amp;C387</f>
        <v>Ibim Murphy</v>
      </c>
      <c r="E387">
        <v>37</v>
      </c>
      <c r="F387" s="3" t="str">
        <f t="shared" ref="F387:F450" si="25">FLOOR(E387, 10)&amp;"-"&amp;FLOOR(E387, 10)+9</f>
        <v>30-39</v>
      </c>
      <c r="G387" t="s">
        <v>151</v>
      </c>
      <c r="H387" t="s">
        <v>35</v>
      </c>
      <c r="I387" t="s">
        <v>36</v>
      </c>
      <c r="J387">
        <v>3</v>
      </c>
      <c r="K387" t="s">
        <v>62</v>
      </c>
      <c r="L387">
        <v>57</v>
      </c>
      <c r="M387" t="s">
        <v>93</v>
      </c>
      <c r="N387">
        <v>350</v>
      </c>
      <c r="O387">
        <v>3</v>
      </c>
      <c r="P387">
        <v>1050</v>
      </c>
      <c r="Q387">
        <v>32.950000000000003</v>
      </c>
      <c r="R387" t="s">
        <v>46</v>
      </c>
      <c r="S387" t="s">
        <v>47</v>
      </c>
      <c r="T387">
        <f t="shared" ref="T387:T450" si="26">IF(R387="Yes",P387,0)</f>
        <v>0</v>
      </c>
      <c r="U387" t="str">
        <f t="shared" ref="U387:U450" si="27">IF(L387&lt;=6,"0-6 Months",
IF(L387&lt;=12,"7-12 Months",
IF(L387&lt;=24,"13-24 Months","24+ Months")))</f>
        <v>24+ Months</v>
      </c>
    </row>
    <row r="388" spans="1:21">
      <c r="A388" t="s">
        <v>670</v>
      </c>
      <c r="B388" t="s">
        <v>404</v>
      </c>
      <c r="C388" s="2" t="s">
        <v>262</v>
      </c>
      <c r="D388" s="2" t="str">
        <f t="shared" si="24"/>
        <v>Bola Potter</v>
      </c>
      <c r="E388">
        <v>53</v>
      </c>
      <c r="F388" s="3" t="str">
        <f t="shared" si="25"/>
        <v>50-59</v>
      </c>
      <c r="G388" t="s">
        <v>159</v>
      </c>
      <c r="H388" t="s">
        <v>25</v>
      </c>
      <c r="I388" t="s">
        <v>36</v>
      </c>
      <c r="J388">
        <v>1</v>
      </c>
      <c r="K388" t="s">
        <v>44</v>
      </c>
      <c r="L388">
        <v>17</v>
      </c>
      <c r="M388" t="s">
        <v>73</v>
      </c>
      <c r="N388">
        <v>16000</v>
      </c>
      <c r="O388">
        <v>3</v>
      </c>
      <c r="P388">
        <v>48000</v>
      </c>
      <c r="Q388">
        <v>109.64</v>
      </c>
      <c r="R388" t="s">
        <v>46</v>
      </c>
      <c r="S388" t="s">
        <v>47</v>
      </c>
      <c r="T388">
        <f t="shared" si="26"/>
        <v>0</v>
      </c>
      <c r="U388" t="str">
        <f t="shared" si="27"/>
        <v>13-24 Months</v>
      </c>
    </row>
    <row r="389" spans="1:21">
      <c r="A389" t="s">
        <v>671</v>
      </c>
      <c r="B389" t="s">
        <v>404</v>
      </c>
      <c r="C389" s="2" t="s">
        <v>262</v>
      </c>
      <c r="D389" s="2" t="str">
        <f t="shared" si="24"/>
        <v>Bola Potter</v>
      </c>
      <c r="E389">
        <v>53</v>
      </c>
      <c r="F389" s="3" t="str">
        <f t="shared" si="25"/>
        <v>50-59</v>
      </c>
      <c r="G389" t="s">
        <v>159</v>
      </c>
      <c r="H389" t="s">
        <v>43</v>
      </c>
      <c r="I389" t="s">
        <v>36</v>
      </c>
      <c r="J389">
        <v>1</v>
      </c>
      <c r="K389" t="s">
        <v>44</v>
      </c>
      <c r="L389">
        <v>17</v>
      </c>
      <c r="M389" t="s">
        <v>156</v>
      </c>
      <c r="N389">
        <v>25000</v>
      </c>
      <c r="O389">
        <v>20</v>
      </c>
      <c r="P389">
        <v>500000</v>
      </c>
      <c r="Q389">
        <v>119.01</v>
      </c>
      <c r="R389" t="s">
        <v>46</v>
      </c>
      <c r="S389" t="s">
        <v>47</v>
      </c>
      <c r="T389">
        <f t="shared" si="26"/>
        <v>0</v>
      </c>
      <c r="U389" t="str">
        <f t="shared" si="27"/>
        <v>13-24 Months</v>
      </c>
    </row>
    <row r="390" spans="1:21" hidden="1">
      <c r="A390" t="s">
        <v>672</v>
      </c>
      <c r="B390" t="s">
        <v>369</v>
      </c>
      <c r="C390" s="2" t="s">
        <v>673</v>
      </c>
      <c r="D390" s="2" t="str">
        <f t="shared" si="24"/>
        <v>John Morales</v>
      </c>
      <c r="E390">
        <v>19</v>
      </c>
      <c r="F390" s="3" t="str">
        <f t="shared" si="25"/>
        <v>10-19</v>
      </c>
      <c r="G390" t="s">
        <v>24</v>
      </c>
      <c r="H390" t="s">
        <v>25</v>
      </c>
      <c r="I390" t="s">
        <v>26</v>
      </c>
      <c r="J390">
        <v>2</v>
      </c>
      <c r="K390" t="s">
        <v>27</v>
      </c>
      <c r="L390">
        <v>39</v>
      </c>
      <c r="M390" t="s">
        <v>57</v>
      </c>
      <c r="N390">
        <v>4500</v>
      </c>
      <c r="O390">
        <v>18</v>
      </c>
      <c r="P390">
        <v>81000</v>
      </c>
      <c r="Q390">
        <v>139.59</v>
      </c>
      <c r="R390" t="s">
        <v>29</v>
      </c>
      <c r="S390" t="s">
        <v>129</v>
      </c>
      <c r="T390">
        <f t="shared" si="26"/>
        <v>81000</v>
      </c>
      <c r="U390" t="str">
        <f t="shared" si="27"/>
        <v>24+ Months</v>
      </c>
    </row>
    <row r="391" spans="1:21">
      <c r="A391" t="s">
        <v>674</v>
      </c>
      <c r="B391" t="s">
        <v>40</v>
      </c>
      <c r="C391" s="2" t="s">
        <v>381</v>
      </c>
      <c r="D391" s="2" t="str">
        <f t="shared" si="24"/>
        <v>Saidu Tucker</v>
      </c>
      <c r="E391">
        <v>52</v>
      </c>
      <c r="F391" s="3" t="str">
        <f t="shared" si="25"/>
        <v>50-59</v>
      </c>
      <c r="G391" t="s">
        <v>206</v>
      </c>
      <c r="H391" t="s">
        <v>25</v>
      </c>
      <c r="I391" t="s">
        <v>26</v>
      </c>
      <c r="J391">
        <v>4</v>
      </c>
      <c r="K391" t="s">
        <v>155</v>
      </c>
      <c r="L391">
        <v>7</v>
      </c>
      <c r="M391" t="s">
        <v>63</v>
      </c>
      <c r="N391">
        <v>9000</v>
      </c>
      <c r="O391">
        <v>3</v>
      </c>
      <c r="P391">
        <v>27000</v>
      </c>
      <c r="Q391">
        <v>1.26</v>
      </c>
      <c r="R391" t="s">
        <v>46</v>
      </c>
      <c r="S391" t="s">
        <v>47</v>
      </c>
      <c r="T391">
        <f t="shared" si="26"/>
        <v>0</v>
      </c>
      <c r="U391" t="str">
        <f t="shared" si="27"/>
        <v>7-12 Months</v>
      </c>
    </row>
    <row r="392" spans="1:21">
      <c r="A392" t="s">
        <v>675</v>
      </c>
      <c r="B392" t="s">
        <v>40</v>
      </c>
      <c r="C392" s="2" t="s">
        <v>381</v>
      </c>
      <c r="D392" s="2" t="str">
        <f t="shared" si="24"/>
        <v>Saidu Tucker</v>
      </c>
      <c r="E392">
        <v>52</v>
      </c>
      <c r="F392" s="3" t="str">
        <f t="shared" si="25"/>
        <v>50-59</v>
      </c>
      <c r="G392" t="s">
        <v>206</v>
      </c>
      <c r="H392" t="s">
        <v>51</v>
      </c>
      <c r="I392" t="s">
        <v>26</v>
      </c>
      <c r="J392">
        <v>4</v>
      </c>
      <c r="K392" t="s">
        <v>155</v>
      </c>
      <c r="L392">
        <v>7</v>
      </c>
      <c r="M392" t="s">
        <v>82</v>
      </c>
      <c r="N392">
        <v>30000</v>
      </c>
      <c r="O392">
        <v>20</v>
      </c>
      <c r="P392">
        <v>600000</v>
      </c>
      <c r="Q392">
        <v>164.87</v>
      </c>
      <c r="R392" t="s">
        <v>46</v>
      </c>
      <c r="S392" t="s">
        <v>47</v>
      </c>
      <c r="T392">
        <f t="shared" si="26"/>
        <v>0</v>
      </c>
      <c r="U392" t="str">
        <f t="shared" si="27"/>
        <v>7-12 Months</v>
      </c>
    </row>
    <row r="393" spans="1:21">
      <c r="A393" t="s">
        <v>676</v>
      </c>
      <c r="B393" t="s">
        <v>369</v>
      </c>
      <c r="C393" s="2" t="s">
        <v>677</v>
      </c>
      <c r="D393" s="2" t="str">
        <f t="shared" si="24"/>
        <v>John Mcgrath</v>
      </c>
      <c r="E393">
        <v>41</v>
      </c>
      <c r="F393" s="3" t="str">
        <f t="shared" si="25"/>
        <v>40-49</v>
      </c>
      <c r="G393" t="s">
        <v>128</v>
      </c>
      <c r="H393" t="s">
        <v>51</v>
      </c>
      <c r="I393" t="s">
        <v>26</v>
      </c>
      <c r="J393">
        <v>3</v>
      </c>
      <c r="K393" t="s">
        <v>62</v>
      </c>
      <c r="L393">
        <v>14</v>
      </c>
      <c r="M393" t="s">
        <v>91</v>
      </c>
      <c r="N393">
        <v>14500</v>
      </c>
      <c r="O393">
        <v>9</v>
      </c>
      <c r="P393">
        <v>130500</v>
      </c>
      <c r="Q393">
        <v>94.45</v>
      </c>
      <c r="R393" t="s">
        <v>46</v>
      </c>
      <c r="S393" t="s">
        <v>47</v>
      </c>
      <c r="T393">
        <f t="shared" si="26"/>
        <v>0</v>
      </c>
      <c r="U393" t="str">
        <f t="shared" si="27"/>
        <v>13-24 Months</v>
      </c>
    </row>
    <row r="394" spans="1:21">
      <c r="A394" t="s">
        <v>678</v>
      </c>
      <c r="B394" t="s">
        <v>369</v>
      </c>
      <c r="C394" s="2" t="s">
        <v>677</v>
      </c>
      <c r="D394" s="2" t="str">
        <f t="shared" si="24"/>
        <v>John Mcgrath</v>
      </c>
      <c r="E394">
        <v>41</v>
      </c>
      <c r="F394" s="3" t="str">
        <f t="shared" si="25"/>
        <v>40-49</v>
      </c>
      <c r="G394" t="s">
        <v>128</v>
      </c>
      <c r="H394" t="s">
        <v>25</v>
      </c>
      <c r="I394" t="s">
        <v>26</v>
      </c>
      <c r="J394">
        <v>3</v>
      </c>
      <c r="K394" t="s">
        <v>62</v>
      </c>
      <c r="L394">
        <v>14</v>
      </c>
      <c r="M394" t="s">
        <v>73</v>
      </c>
      <c r="N394">
        <v>16000</v>
      </c>
      <c r="O394">
        <v>13</v>
      </c>
      <c r="P394">
        <v>208000</v>
      </c>
      <c r="Q394">
        <v>128.55000000000001</v>
      </c>
      <c r="R394" t="s">
        <v>46</v>
      </c>
      <c r="S394" t="s">
        <v>47</v>
      </c>
      <c r="T394">
        <f t="shared" si="26"/>
        <v>0</v>
      </c>
      <c r="U394" t="str">
        <f t="shared" si="27"/>
        <v>13-24 Months</v>
      </c>
    </row>
    <row r="395" spans="1:21" hidden="1">
      <c r="A395" t="s">
        <v>679</v>
      </c>
      <c r="B395" t="s">
        <v>149</v>
      </c>
      <c r="C395" s="2" t="s">
        <v>680</v>
      </c>
      <c r="D395" s="2" t="str">
        <f t="shared" si="24"/>
        <v>Shehu Hays</v>
      </c>
      <c r="E395">
        <v>63</v>
      </c>
      <c r="F395" s="3" t="str">
        <f t="shared" si="25"/>
        <v>60-69</v>
      </c>
      <c r="G395" t="s">
        <v>77</v>
      </c>
      <c r="H395" t="s">
        <v>25</v>
      </c>
      <c r="I395" t="s">
        <v>36</v>
      </c>
      <c r="J395">
        <v>1</v>
      </c>
      <c r="K395" t="s">
        <v>44</v>
      </c>
      <c r="L395">
        <v>12</v>
      </c>
      <c r="M395" t="s">
        <v>73</v>
      </c>
      <c r="N395">
        <v>16000</v>
      </c>
      <c r="O395">
        <v>4</v>
      </c>
      <c r="P395">
        <v>64000</v>
      </c>
      <c r="Q395">
        <v>30.65</v>
      </c>
      <c r="R395" t="s">
        <v>29</v>
      </c>
      <c r="S395" t="s">
        <v>229</v>
      </c>
      <c r="T395">
        <f t="shared" si="26"/>
        <v>64000</v>
      </c>
      <c r="U395" t="str">
        <f t="shared" si="27"/>
        <v>7-12 Months</v>
      </c>
    </row>
    <row r="396" spans="1:21" hidden="1">
      <c r="A396" t="s">
        <v>681</v>
      </c>
      <c r="B396" t="s">
        <v>149</v>
      </c>
      <c r="C396" s="2" t="s">
        <v>680</v>
      </c>
      <c r="D396" s="2" t="str">
        <f t="shared" si="24"/>
        <v>Shehu Hays</v>
      </c>
      <c r="E396">
        <v>63</v>
      </c>
      <c r="F396" s="3" t="str">
        <f t="shared" si="25"/>
        <v>60-69</v>
      </c>
      <c r="G396" t="s">
        <v>77</v>
      </c>
      <c r="H396" t="s">
        <v>35</v>
      </c>
      <c r="I396" t="s">
        <v>36</v>
      </c>
      <c r="J396">
        <v>1</v>
      </c>
      <c r="K396" t="s">
        <v>44</v>
      </c>
      <c r="L396">
        <v>12</v>
      </c>
      <c r="M396" t="s">
        <v>108</v>
      </c>
      <c r="N396">
        <v>1000</v>
      </c>
      <c r="O396">
        <v>18</v>
      </c>
      <c r="P396">
        <v>18000</v>
      </c>
      <c r="Q396">
        <v>133.79</v>
      </c>
      <c r="R396" t="s">
        <v>29</v>
      </c>
      <c r="S396" t="s">
        <v>229</v>
      </c>
      <c r="T396">
        <f t="shared" si="26"/>
        <v>18000</v>
      </c>
      <c r="U396" t="str">
        <f t="shared" si="27"/>
        <v>7-12 Months</v>
      </c>
    </row>
    <row r="397" spans="1:21">
      <c r="A397" t="s">
        <v>682</v>
      </c>
      <c r="B397" t="s">
        <v>316</v>
      </c>
      <c r="C397" s="2" t="s">
        <v>683</v>
      </c>
      <c r="D397" s="2" t="str">
        <f t="shared" si="24"/>
        <v>Ibim Castro</v>
      </c>
      <c r="E397">
        <v>45</v>
      </c>
      <c r="F397" s="3" t="str">
        <f t="shared" si="25"/>
        <v>40-49</v>
      </c>
      <c r="G397" t="s">
        <v>61</v>
      </c>
      <c r="H397" t="s">
        <v>25</v>
      </c>
      <c r="I397" t="s">
        <v>36</v>
      </c>
      <c r="J397">
        <v>5</v>
      </c>
      <c r="K397" t="s">
        <v>68</v>
      </c>
      <c r="L397">
        <v>53</v>
      </c>
      <c r="M397" t="s">
        <v>63</v>
      </c>
      <c r="N397">
        <v>9000</v>
      </c>
      <c r="O397">
        <v>2</v>
      </c>
      <c r="P397">
        <v>18000</v>
      </c>
      <c r="Q397">
        <v>16.25</v>
      </c>
      <c r="R397" t="s">
        <v>46</v>
      </c>
      <c r="S397" t="s">
        <v>47</v>
      </c>
      <c r="T397">
        <f t="shared" si="26"/>
        <v>0</v>
      </c>
      <c r="U397" t="str">
        <f t="shared" si="27"/>
        <v>24+ Months</v>
      </c>
    </row>
    <row r="398" spans="1:21">
      <c r="A398" t="s">
        <v>684</v>
      </c>
      <c r="B398" t="s">
        <v>316</v>
      </c>
      <c r="C398" s="2" t="s">
        <v>683</v>
      </c>
      <c r="D398" s="2" t="str">
        <f t="shared" si="24"/>
        <v>Ibim Castro</v>
      </c>
      <c r="E398">
        <v>45</v>
      </c>
      <c r="F398" s="3" t="str">
        <f t="shared" si="25"/>
        <v>40-49</v>
      </c>
      <c r="G398" t="s">
        <v>61</v>
      </c>
      <c r="H398" t="s">
        <v>35</v>
      </c>
      <c r="I398" t="s">
        <v>36</v>
      </c>
      <c r="J398">
        <v>5</v>
      </c>
      <c r="K398" t="s">
        <v>68</v>
      </c>
      <c r="L398">
        <v>53</v>
      </c>
      <c r="M398" t="s">
        <v>264</v>
      </c>
      <c r="N398">
        <v>6500</v>
      </c>
      <c r="O398">
        <v>17</v>
      </c>
      <c r="P398">
        <v>110500</v>
      </c>
      <c r="Q398">
        <v>114.46</v>
      </c>
      <c r="R398" t="s">
        <v>46</v>
      </c>
      <c r="S398" t="s">
        <v>47</v>
      </c>
      <c r="T398">
        <f t="shared" si="26"/>
        <v>0</v>
      </c>
      <c r="U398" t="str">
        <f t="shared" si="27"/>
        <v>24+ Months</v>
      </c>
    </row>
    <row r="399" spans="1:21" hidden="1">
      <c r="A399" t="s">
        <v>685</v>
      </c>
      <c r="B399" t="s">
        <v>134</v>
      </c>
      <c r="C399" s="2" t="s">
        <v>686</v>
      </c>
      <c r="D399" s="2" t="str">
        <f t="shared" si="24"/>
        <v>Obinna Patterson</v>
      </c>
      <c r="E399">
        <v>31</v>
      </c>
      <c r="F399" s="3" t="str">
        <f t="shared" si="25"/>
        <v>30-39</v>
      </c>
      <c r="G399" t="s">
        <v>272</v>
      </c>
      <c r="H399" t="s">
        <v>35</v>
      </c>
      <c r="I399" t="s">
        <v>26</v>
      </c>
      <c r="J399">
        <v>2</v>
      </c>
      <c r="K399" t="s">
        <v>27</v>
      </c>
      <c r="L399">
        <v>11</v>
      </c>
      <c r="M399" t="s">
        <v>93</v>
      </c>
      <c r="N399">
        <v>350</v>
      </c>
      <c r="O399">
        <v>5</v>
      </c>
      <c r="P399">
        <v>1750</v>
      </c>
      <c r="Q399">
        <v>199.46</v>
      </c>
      <c r="R399" t="s">
        <v>29</v>
      </c>
      <c r="S399" t="s">
        <v>229</v>
      </c>
      <c r="T399">
        <f t="shared" si="26"/>
        <v>1750</v>
      </c>
      <c r="U399" t="str">
        <f t="shared" si="27"/>
        <v>7-12 Months</v>
      </c>
    </row>
    <row r="400" spans="1:21">
      <c r="A400" t="s">
        <v>687</v>
      </c>
      <c r="B400" t="s">
        <v>40</v>
      </c>
      <c r="C400" s="2" t="s">
        <v>663</v>
      </c>
      <c r="D400" s="2" t="str">
        <f t="shared" si="24"/>
        <v>Saidu Munoz</v>
      </c>
      <c r="E400">
        <v>56</v>
      </c>
      <c r="F400" s="3" t="str">
        <f t="shared" si="25"/>
        <v>50-59</v>
      </c>
      <c r="G400" t="s">
        <v>201</v>
      </c>
      <c r="H400" t="s">
        <v>35</v>
      </c>
      <c r="I400" t="s">
        <v>26</v>
      </c>
      <c r="J400">
        <v>5</v>
      </c>
      <c r="K400" t="s">
        <v>68</v>
      </c>
      <c r="L400">
        <v>25</v>
      </c>
      <c r="M400" t="s">
        <v>264</v>
      </c>
      <c r="N400">
        <v>6500</v>
      </c>
      <c r="O400">
        <v>4</v>
      </c>
      <c r="P400">
        <v>26000</v>
      </c>
      <c r="Q400">
        <v>156.44999999999999</v>
      </c>
      <c r="R400" t="s">
        <v>46</v>
      </c>
      <c r="S400" t="s">
        <v>47</v>
      </c>
      <c r="T400">
        <f t="shared" si="26"/>
        <v>0</v>
      </c>
      <c r="U400" t="str">
        <f t="shared" si="27"/>
        <v>24+ Months</v>
      </c>
    </row>
    <row r="401" spans="1:21">
      <c r="A401" t="s">
        <v>688</v>
      </c>
      <c r="B401" t="s">
        <v>40</v>
      </c>
      <c r="C401" s="2" t="s">
        <v>663</v>
      </c>
      <c r="D401" s="2" t="str">
        <f t="shared" si="24"/>
        <v>Saidu Munoz</v>
      </c>
      <c r="E401">
        <v>56</v>
      </c>
      <c r="F401" s="3" t="str">
        <f t="shared" si="25"/>
        <v>50-59</v>
      </c>
      <c r="G401" t="s">
        <v>201</v>
      </c>
      <c r="H401" t="s">
        <v>51</v>
      </c>
      <c r="I401" t="s">
        <v>26</v>
      </c>
      <c r="J401">
        <v>5</v>
      </c>
      <c r="K401" t="s">
        <v>68</v>
      </c>
      <c r="L401">
        <v>25</v>
      </c>
      <c r="M401" t="s">
        <v>91</v>
      </c>
      <c r="N401">
        <v>14500</v>
      </c>
      <c r="O401">
        <v>19</v>
      </c>
      <c r="P401">
        <v>275500</v>
      </c>
      <c r="Q401">
        <v>30.35</v>
      </c>
      <c r="R401" t="s">
        <v>46</v>
      </c>
      <c r="S401" t="s">
        <v>47</v>
      </c>
      <c r="T401">
        <f t="shared" si="26"/>
        <v>0</v>
      </c>
      <c r="U401" t="str">
        <f t="shared" si="27"/>
        <v>24+ Months</v>
      </c>
    </row>
    <row r="402" spans="1:21" hidden="1">
      <c r="A402" t="s">
        <v>689</v>
      </c>
      <c r="B402" t="s">
        <v>22</v>
      </c>
      <c r="C402" s="2" t="s">
        <v>690</v>
      </c>
      <c r="D402" s="2" t="str">
        <f t="shared" si="24"/>
        <v>Ngozi Wood</v>
      </c>
      <c r="E402">
        <v>29</v>
      </c>
      <c r="F402" s="3" t="str">
        <f t="shared" si="25"/>
        <v>20-29</v>
      </c>
      <c r="G402" t="s">
        <v>128</v>
      </c>
      <c r="H402" t="s">
        <v>35</v>
      </c>
      <c r="I402" t="s">
        <v>36</v>
      </c>
      <c r="J402">
        <v>4</v>
      </c>
      <c r="K402" t="s">
        <v>155</v>
      </c>
      <c r="L402">
        <v>56</v>
      </c>
      <c r="M402" t="s">
        <v>227</v>
      </c>
      <c r="N402">
        <v>600</v>
      </c>
      <c r="O402">
        <v>5</v>
      </c>
      <c r="P402">
        <v>3000</v>
      </c>
      <c r="Q402">
        <v>55.45</v>
      </c>
      <c r="R402" t="s">
        <v>29</v>
      </c>
      <c r="S402" t="s">
        <v>393</v>
      </c>
      <c r="T402">
        <f t="shared" si="26"/>
        <v>3000</v>
      </c>
      <c r="U402" t="str">
        <f t="shared" si="27"/>
        <v>24+ Months</v>
      </c>
    </row>
    <row r="403" spans="1:21" hidden="1">
      <c r="A403" t="s">
        <v>691</v>
      </c>
      <c r="B403" t="s">
        <v>22</v>
      </c>
      <c r="C403" s="2" t="s">
        <v>690</v>
      </c>
      <c r="D403" s="2" t="str">
        <f t="shared" si="24"/>
        <v>Ngozi Wood</v>
      </c>
      <c r="E403">
        <v>29</v>
      </c>
      <c r="F403" s="3" t="str">
        <f t="shared" si="25"/>
        <v>20-29</v>
      </c>
      <c r="G403" t="s">
        <v>128</v>
      </c>
      <c r="H403" t="s">
        <v>51</v>
      </c>
      <c r="I403" t="s">
        <v>36</v>
      </c>
      <c r="J403">
        <v>4</v>
      </c>
      <c r="K403" t="s">
        <v>155</v>
      </c>
      <c r="L403">
        <v>56</v>
      </c>
      <c r="M403" t="s">
        <v>78</v>
      </c>
      <c r="N403">
        <v>24000</v>
      </c>
      <c r="O403">
        <v>13</v>
      </c>
      <c r="P403">
        <v>312000</v>
      </c>
      <c r="Q403">
        <v>121.93</v>
      </c>
      <c r="R403" t="s">
        <v>29</v>
      </c>
      <c r="S403" t="s">
        <v>393</v>
      </c>
      <c r="T403">
        <f t="shared" si="26"/>
        <v>312000</v>
      </c>
      <c r="U403" t="str">
        <f t="shared" si="27"/>
        <v>24+ Months</v>
      </c>
    </row>
    <row r="404" spans="1:21">
      <c r="A404" t="s">
        <v>692</v>
      </c>
      <c r="B404" t="s">
        <v>404</v>
      </c>
      <c r="C404" s="2" t="s">
        <v>552</v>
      </c>
      <c r="D404" s="2" t="str">
        <f t="shared" si="24"/>
        <v>Bola Miller</v>
      </c>
      <c r="E404">
        <v>66</v>
      </c>
      <c r="F404" s="3" t="str">
        <f t="shared" si="25"/>
        <v>60-69</v>
      </c>
      <c r="G404" t="s">
        <v>216</v>
      </c>
      <c r="H404" t="s">
        <v>43</v>
      </c>
      <c r="I404" t="s">
        <v>26</v>
      </c>
      <c r="J404">
        <v>3</v>
      </c>
      <c r="K404" t="s">
        <v>62</v>
      </c>
      <c r="L404">
        <v>4</v>
      </c>
      <c r="M404" t="s">
        <v>78</v>
      </c>
      <c r="N404">
        <v>24000</v>
      </c>
      <c r="O404">
        <v>16</v>
      </c>
      <c r="P404">
        <v>384000</v>
      </c>
      <c r="Q404">
        <v>62.53</v>
      </c>
      <c r="R404" t="s">
        <v>46</v>
      </c>
      <c r="S404" t="s">
        <v>47</v>
      </c>
      <c r="T404">
        <f t="shared" si="26"/>
        <v>0</v>
      </c>
      <c r="U404" t="str">
        <f t="shared" si="27"/>
        <v>0-6 Months</v>
      </c>
    </row>
    <row r="405" spans="1:21" hidden="1">
      <c r="A405" t="s">
        <v>693</v>
      </c>
      <c r="B405" t="s">
        <v>22</v>
      </c>
      <c r="C405" s="2" t="s">
        <v>694</v>
      </c>
      <c r="D405" s="2" t="str">
        <f t="shared" si="24"/>
        <v>Ngozi Acevedo</v>
      </c>
      <c r="E405">
        <v>45</v>
      </c>
      <c r="F405" s="3" t="str">
        <f t="shared" si="25"/>
        <v>40-49</v>
      </c>
      <c r="G405" t="s">
        <v>194</v>
      </c>
      <c r="H405" t="s">
        <v>51</v>
      </c>
      <c r="I405" t="s">
        <v>36</v>
      </c>
      <c r="J405">
        <v>3</v>
      </c>
      <c r="K405" t="s">
        <v>62</v>
      </c>
      <c r="L405">
        <v>48</v>
      </c>
      <c r="M405" t="s">
        <v>45</v>
      </c>
      <c r="N405">
        <v>20000</v>
      </c>
      <c r="O405">
        <v>14</v>
      </c>
      <c r="P405">
        <v>280000</v>
      </c>
      <c r="Q405">
        <v>182.73</v>
      </c>
      <c r="R405" t="s">
        <v>29</v>
      </c>
      <c r="S405" t="s">
        <v>229</v>
      </c>
      <c r="T405">
        <f t="shared" si="26"/>
        <v>280000</v>
      </c>
      <c r="U405" t="str">
        <f t="shared" si="27"/>
        <v>24+ Months</v>
      </c>
    </row>
    <row r="406" spans="1:21" hidden="1">
      <c r="A406" t="s">
        <v>695</v>
      </c>
      <c r="B406" t="s">
        <v>22</v>
      </c>
      <c r="C406" s="2" t="s">
        <v>694</v>
      </c>
      <c r="D406" s="2" t="str">
        <f t="shared" si="24"/>
        <v>Ngozi Acevedo</v>
      </c>
      <c r="E406">
        <v>45</v>
      </c>
      <c r="F406" s="3" t="str">
        <f t="shared" si="25"/>
        <v>40-49</v>
      </c>
      <c r="G406" t="s">
        <v>194</v>
      </c>
      <c r="H406" t="s">
        <v>35</v>
      </c>
      <c r="I406" t="s">
        <v>36</v>
      </c>
      <c r="J406">
        <v>3</v>
      </c>
      <c r="K406" t="s">
        <v>62</v>
      </c>
      <c r="L406">
        <v>48</v>
      </c>
      <c r="M406" t="s">
        <v>37</v>
      </c>
      <c r="N406">
        <v>5500</v>
      </c>
      <c r="O406">
        <v>12</v>
      </c>
      <c r="P406">
        <v>66000</v>
      </c>
      <c r="Q406">
        <v>152.02000000000001</v>
      </c>
      <c r="R406" t="s">
        <v>29</v>
      </c>
      <c r="S406" t="s">
        <v>229</v>
      </c>
      <c r="T406">
        <f t="shared" si="26"/>
        <v>66000</v>
      </c>
      <c r="U406" t="str">
        <f t="shared" si="27"/>
        <v>24+ Months</v>
      </c>
    </row>
    <row r="407" spans="1:21" hidden="1">
      <c r="A407" t="s">
        <v>696</v>
      </c>
      <c r="B407" t="s">
        <v>22</v>
      </c>
      <c r="C407" s="2" t="s">
        <v>694</v>
      </c>
      <c r="D407" s="2" t="str">
        <f t="shared" si="24"/>
        <v>Ngozi Acevedo</v>
      </c>
      <c r="E407">
        <v>45</v>
      </c>
      <c r="F407" s="3" t="str">
        <f t="shared" si="25"/>
        <v>40-49</v>
      </c>
      <c r="G407" t="s">
        <v>194</v>
      </c>
      <c r="H407" t="s">
        <v>25</v>
      </c>
      <c r="I407" t="s">
        <v>36</v>
      </c>
      <c r="J407">
        <v>3</v>
      </c>
      <c r="K407" t="s">
        <v>62</v>
      </c>
      <c r="L407">
        <v>48</v>
      </c>
      <c r="M407" t="s">
        <v>73</v>
      </c>
      <c r="N407">
        <v>16000</v>
      </c>
      <c r="O407">
        <v>6</v>
      </c>
      <c r="P407">
        <v>96000</v>
      </c>
      <c r="Q407">
        <v>103.3</v>
      </c>
      <c r="R407" t="s">
        <v>29</v>
      </c>
      <c r="S407" t="s">
        <v>229</v>
      </c>
      <c r="T407">
        <f t="shared" si="26"/>
        <v>96000</v>
      </c>
      <c r="U407" t="str">
        <f t="shared" si="27"/>
        <v>24+ Months</v>
      </c>
    </row>
    <row r="408" spans="1:21" hidden="1">
      <c r="A408" t="s">
        <v>697</v>
      </c>
      <c r="B408" t="s">
        <v>121</v>
      </c>
      <c r="C408" s="2" t="s">
        <v>698</v>
      </c>
      <c r="D408" s="2" t="str">
        <f t="shared" si="24"/>
        <v>Kunle Bird</v>
      </c>
      <c r="E408">
        <v>55</v>
      </c>
      <c r="F408" s="3" t="str">
        <f t="shared" si="25"/>
        <v>50-59</v>
      </c>
      <c r="G408" t="s">
        <v>260</v>
      </c>
      <c r="H408" t="s">
        <v>51</v>
      </c>
      <c r="I408" t="s">
        <v>36</v>
      </c>
      <c r="J408">
        <v>2</v>
      </c>
      <c r="K408" t="s">
        <v>27</v>
      </c>
      <c r="L408">
        <v>9</v>
      </c>
      <c r="M408" t="s">
        <v>45</v>
      </c>
      <c r="N408">
        <v>20000</v>
      </c>
      <c r="O408">
        <v>2</v>
      </c>
      <c r="P408">
        <v>40000</v>
      </c>
      <c r="Q408">
        <v>7.1</v>
      </c>
      <c r="R408" t="s">
        <v>29</v>
      </c>
      <c r="S408" t="s">
        <v>38</v>
      </c>
      <c r="T408">
        <f t="shared" si="26"/>
        <v>40000</v>
      </c>
      <c r="U408" t="str">
        <f t="shared" si="27"/>
        <v>7-12 Months</v>
      </c>
    </row>
    <row r="409" spans="1:21">
      <c r="A409" t="s">
        <v>699</v>
      </c>
      <c r="B409" t="s">
        <v>54</v>
      </c>
      <c r="C409" s="2" t="s">
        <v>700</v>
      </c>
      <c r="D409" s="2" t="str">
        <f t="shared" si="24"/>
        <v>Ejiro Gill</v>
      </c>
      <c r="E409">
        <v>41</v>
      </c>
      <c r="F409" s="3" t="str">
        <f t="shared" si="25"/>
        <v>40-49</v>
      </c>
      <c r="G409" t="s">
        <v>263</v>
      </c>
      <c r="H409" t="s">
        <v>51</v>
      </c>
      <c r="I409" t="s">
        <v>36</v>
      </c>
      <c r="J409">
        <v>5</v>
      </c>
      <c r="K409" t="s">
        <v>68</v>
      </c>
      <c r="L409">
        <v>53</v>
      </c>
      <c r="M409" t="s">
        <v>45</v>
      </c>
      <c r="N409">
        <v>20000</v>
      </c>
      <c r="O409">
        <v>20</v>
      </c>
      <c r="P409">
        <v>400000</v>
      </c>
      <c r="Q409">
        <v>74.81</v>
      </c>
      <c r="R409" t="s">
        <v>46</v>
      </c>
      <c r="S409" t="s">
        <v>47</v>
      </c>
      <c r="T409">
        <f t="shared" si="26"/>
        <v>0</v>
      </c>
      <c r="U409" t="str">
        <f t="shared" si="27"/>
        <v>24+ Months</v>
      </c>
    </row>
    <row r="410" spans="1:21">
      <c r="A410" t="s">
        <v>701</v>
      </c>
      <c r="B410" t="s">
        <v>182</v>
      </c>
      <c r="C410" s="2" t="s">
        <v>702</v>
      </c>
      <c r="D410" s="2" t="str">
        <f t="shared" si="24"/>
        <v>Alabo Clay</v>
      </c>
      <c r="E410">
        <v>38</v>
      </c>
      <c r="F410" s="3" t="str">
        <f t="shared" si="25"/>
        <v>30-39</v>
      </c>
      <c r="G410" t="s">
        <v>292</v>
      </c>
      <c r="H410" t="s">
        <v>51</v>
      </c>
      <c r="I410" t="s">
        <v>36</v>
      </c>
      <c r="J410">
        <v>3</v>
      </c>
      <c r="K410" t="s">
        <v>62</v>
      </c>
      <c r="L410">
        <v>23</v>
      </c>
      <c r="M410" t="s">
        <v>91</v>
      </c>
      <c r="N410">
        <v>14500</v>
      </c>
      <c r="O410">
        <v>19</v>
      </c>
      <c r="P410">
        <v>275500</v>
      </c>
      <c r="Q410">
        <v>10.41</v>
      </c>
      <c r="R410" t="s">
        <v>46</v>
      </c>
      <c r="S410" t="s">
        <v>47</v>
      </c>
      <c r="T410">
        <f t="shared" si="26"/>
        <v>0</v>
      </c>
      <c r="U410" t="str">
        <f t="shared" si="27"/>
        <v>13-24 Months</v>
      </c>
    </row>
    <row r="411" spans="1:21">
      <c r="A411" t="s">
        <v>703</v>
      </c>
      <c r="B411" t="s">
        <v>182</v>
      </c>
      <c r="C411" s="2" t="s">
        <v>702</v>
      </c>
      <c r="D411" s="2" t="str">
        <f t="shared" si="24"/>
        <v>Alabo Clay</v>
      </c>
      <c r="E411">
        <v>38</v>
      </c>
      <c r="F411" s="3" t="str">
        <f t="shared" si="25"/>
        <v>30-39</v>
      </c>
      <c r="G411" t="s">
        <v>292</v>
      </c>
      <c r="H411" t="s">
        <v>35</v>
      </c>
      <c r="I411" t="s">
        <v>36</v>
      </c>
      <c r="J411">
        <v>3</v>
      </c>
      <c r="K411" t="s">
        <v>62</v>
      </c>
      <c r="L411">
        <v>23</v>
      </c>
      <c r="M411" t="s">
        <v>57</v>
      </c>
      <c r="N411">
        <v>4500</v>
      </c>
      <c r="O411">
        <v>8</v>
      </c>
      <c r="P411">
        <v>36000</v>
      </c>
      <c r="Q411">
        <v>171.49</v>
      </c>
      <c r="R411" t="s">
        <v>46</v>
      </c>
      <c r="S411" t="s">
        <v>47</v>
      </c>
      <c r="T411">
        <f t="shared" si="26"/>
        <v>0</v>
      </c>
      <c r="U411" t="str">
        <f t="shared" si="27"/>
        <v>13-24 Months</v>
      </c>
    </row>
    <row r="412" spans="1:21">
      <c r="A412" t="s">
        <v>704</v>
      </c>
      <c r="B412" t="s">
        <v>182</v>
      </c>
      <c r="C412" s="2" t="s">
        <v>702</v>
      </c>
      <c r="D412" s="2" t="str">
        <f t="shared" si="24"/>
        <v>Alabo Clay</v>
      </c>
      <c r="E412">
        <v>38</v>
      </c>
      <c r="F412" s="3" t="str">
        <f t="shared" si="25"/>
        <v>30-39</v>
      </c>
      <c r="G412" t="s">
        <v>292</v>
      </c>
      <c r="H412" t="s">
        <v>35</v>
      </c>
      <c r="I412" t="s">
        <v>36</v>
      </c>
      <c r="J412">
        <v>3</v>
      </c>
      <c r="K412" t="s">
        <v>62</v>
      </c>
      <c r="L412">
        <v>23</v>
      </c>
      <c r="M412" t="s">
        <v>93</v>
      </c>
      <c r="N412">
        <v>350</v>
      </c>
      <c r="O412">
        <v>14</v>
      </c>
      <c r="P412">
        <v>4900</v>
      </c>
      <c r="Q412">
        <v>54.18</v>
      </c>
      <c r="R412" t="s">
        <v>46</v>
      </c>
      <c r="S412" t="s">
        <v>47</v>
      </c>
      <c r="T412">
        <f t="shared" si="26"/>
        <v>0</v>
      </c>
      <c r="U412" t="str">
        <f t="shared" si="27"/>
        <v>13-24 Months</v>
      </c>
    </row>
    <row r="413" spans="1:21">
      <c r="A413" t="s">
        <v>705</v>
      </c>
      <c r="B413" t="s">
        <v>345</v>
      </c>
      <c r="C413" s="2" t="s">
        <v>277</v>
      </c>
      <c r="D413" s="2" t="str">
        <f t="shared" si="24"/>
        <v>Michael Williams</v>
      </c>
      <c r="E413">
        <v>18</v>
      </c>
      <c r="F413" s="3" t="str">
        <f t="shared" si="25"/>
        <v>10-19</v>
      </c>
      <c r="G413" t="s">
        <v>628</v>
      </c>
      <c r="H413" t="s">
        <v>25</v>
      </c>
      <c r="I413" t="s">
        <v>36</v>
      </c>
      <c r="J413">
        <v>2</v>
      </c>
      <c r="K413" t="s">
        <v>27</v>
      </c>
      <c r="L413">
        <v>59</v>
      </c>
      <c r="M413" t="s">
        <v>57</v>
      </c>
      <c r="N413">
        <v>4500</v>
      </c>
      <c r="O413">
        <v>10</v>
      </c>
      <c r="P413">
        <v>45000</v>
      </c>
      <c r="Q413">
        <v>121.86</v>
      </c>
      <c r="R413" t="s">
        <v>46</v>
      </c>
      <c r="S413" t="s">
        <v>47</v>
      </c>
      <c r="T413">
        <f t="shared" si="26"/>
        <v>0</v>
      </c>
      <c r="U413" t="str">
        <f t="shared" si="27"/>
        <v>24+ Months</v>
      </c>
    </row>
    <row r="414" spans="1:21">
      <c r="A414" t="s">
        <v>706</v>
      </c>
      <c r="B414" t="s">
        <v>32</v>
      </c>
      <c r="C414" s="2" t="s">
        <v>707</v>
      </c>
      <c r="D414" s="2" t="str">
        <f t="shared" si="24"/>
        <v>Zainab Clark</v>
      </c>
      <c r="E414">
        <v>70</v>
      </c>
      <c r="F414" s="3" t="str">
        <f t="shared" si="25"/>
        <v>70-79</v>
      </c>
      <c r="G414" t="s">
        <v>77</v>
      </c>
      <c r="H414" t="s">
        <v>35</v>
      </c>
      <c r="I414" t="s">
        <v>36</v>
      </c>
      <c r="J414">
        <v>2</v>
      </c>
      <c r="K414" t="s">
        <v>27</v>
      </c>
      <c r="L414">
        <v>30</v>
      </c>
      <c r="M414" t="s">
        <v>137</v>
      </c>
      <c r="N414">
        <v>900</v>
      </c>
      <c r="O414">
        <v>12</v>
      </c>
      <c r="P414">
        <v>10800</v>
      </c>
      <c r="Q414">
        <v>102.55</v>
      </c>
      <c r="R414" t="s">
        <v>46</v>
      </c>
      <c r="S414" t="s">
        <v>47</v>
      </c>
      <c r="T414">
        <f t="shared" si="26"/>
        <v>0</v>
      </c>
      <c r="U414" t="str">
        <f t="shared" si="27"/>
        <v>24+ Months</v>
      </c>
    </row>
    <row r="415" spans="1:21">
      <c r="A415" t="s">
        <v>708</v>
      </c>
      <c r="B415" t="s">
        <v>32</v>
      </c>
      <c r="C415" s="2" t="s">
        <v>707</v>
      </c>
      <c r="D415" s="2" t="str">
        <f t="shared" si="24"/>
        <v>Zainab Clark</v>
      </c>
      <c r="E415">
        <v>70</v>
      </c>
      <c r="F415" s="3" t="str">
        <f t="shared" si="25"/>
        <v>70-79</v>
      </c>
      <c r="G415" t="s">
        <v>77</v>
      </c>
      <c r="H415" t="s">
        <v>43</v>
      </c>
      <c r="I415" t="s">
        <v>36</v>
      </c>
      <c r="J415">
        <v>2</v>
      </c>
      <c r="K415" t="s">
        <v>27</v>
      </c>
      <c r="L415">
        <v>30</v>
      </c>
      <c r="M415" t="s">
        <v>78</v>
      </c>
      <c r="N415">
        <v>24000</v>
      </c>
      <c r="O415">
        <v>4</v>
      </c>
      <c r="P415">
        <v>96000</v>
      </c>
      <c r="Q415">
        <v>60.05</v>
      </c>
      <c r="R415" t="s">
        <v>46</v>
      </c>
      <c r="S415" t="s">
        <v>47</v>
      </c>
      <c r="T415">
        <f t="shared" si="26"/>
        <v>0</v>
      </c>
      <c r="U415" t="str">
        <f t="shared" si="27"/>
        <v>24+ Months</v>
      </c>
    </row>
    <row r="416" spans="1:21">
      <c r="A416" t="s">
        <v>709</v>
      </c>
      <c r="B416" t="s">
        <v>32</v>
      </c>
      <c r="C416" s="2" t="s">
        <v>707</v>
      </c>
      <c r="D416" s="2" t="str">
        <f t="shared" si="24"/>
        <v>Zainab Clark</v>
      </c>
      <c r="E416">
        <v>70</v>
      </c>
      <c r="F416" s="3" t="str">
        <f t="shared" si="25"/>
        <v>70-79</v>
      </c>
      <c r="G416" t="s">
        <v>77</v>
      </c>
      <c r="H416" t="s">
        <v>51</v>
      </c>
      <c r="I416" t="s">
        <v>36</v>
      </c>
      <c r="J416">
        <v>2</v>
      </c>
      <c r="K416" t="s">
        <v>27</v>
      </c>
      <c r="L416">
        <v>30</v>
      </c>
      <c r="M416" t="s">
        <v>91</v>
      </c>
      <c r="N416">
        <v>14500</v>
      </c>
      <c r="O416">
        <v>9</v>
      </c>
      <c r="P416">
        <v>130500</v>
      </c>
      <c r="Q416">
        <v>13.24</v>
      </c>
      <c r="R416" t="s">
        <v>46</v>
      </c>
      <c r="S416" t="s">
        <v>47</v>
      </c>
      <c r="T416">
        <f t="shared" si="26"/>
        <v>0</v>
      </c>
      <c r="U416" t="str">
        <f t="shared" si="27"/>
        <v>24+ Months</v>
      </c>
    </row>
    <row r="417" spans="1:21">
      <c r="A417" t="s">
        <v>710</v>
      </c>
      <c r="B417" t="s">
        <v>166</v>
      </c>
      <c r="C417" s="2" t="s">
        <v>498</v>
      </c>
      <c r="D417" s="2" t="str">
        <f t="shared" si="24"/>
        <v>Ese Cooper</v>
      </c>
      <c r="E417">
        <v>51</v>
      </c>
      <c r="F417" s="3" t="str">
        <f t="shared" si="25"/>
        <v>50-59</v>
      </c>
      <c r="G417" t="s">
        <v>197</v>
      </c>
      <c r="H417" t="s">
        <v>35</v>
      </c>
      <c r="I417" t="s">
        <v>36</v>
      </c>
      <c r="J417">
        <v>5</v>
      </c>
      <c r="K417" t="s">
        <v>68</v>
      </c>
      <c r="L417">
        <v>13</v>
      </c>
      <c r="M417" t="s">
        <v>69</v>
      </c>
      <c r="N417">
        <v>3500</v>
      </c>
      <c r="O417">
        <v>1</v>
      </c>
      <c r="P417">
        <v>3500</v>
      </c>
      <c r="Q417">
        <v>136.31</v>
      </c>
      <c r="R417" t="s">
        <v>46</v>
      </c>
      <c r="S417" t="s">
        <v>47</v>
      </c>
      <c r="T417">
        <f t="shared" si="26"/>
        <v>0</v>
      </c>
      <c r="U417" t="str">
        <f t="shared" si="27"/>
        <v>13-24 Months</v>
      </c>
    </row>
    <row r="418" spans="1:21">
      <c r="A418" t="s">
        <v>711</v>
      </c>
      <c r="B418" t="s">
        <v>232</v>
      </c>
      <c r="C418" s="2" t="s">
        <v>712</v>
      </c>
      <c r="D418" s="2" t="str">
        <f t="shared" si="24"/>
        <v>Grace Figueroa</v>
      </c>
      <c r="E418">
        <v>53</v>
      </c>
      <c r="F418" s="3" t="str">
        <f t="shared" si="25"/>
        <v>50-59</v>
      </c>
      <c r="G418" t="s">
        <v>197</v>
      </c>
      <c r="H418" t="s">
        <v>35</v>
      </c>
      <c r="I418" t="s">
        <v>36</v>
      </c>
      <c r="J418">
        <v>1</v>
      </c>
      <c r="K418" t="s">
        <v>44</v>
      </c>
      <c r="L418">
        <v>26</v>
      </c>
      <c r="M418" t="s">
        <v>28</v>
      </c>
      <c r="N418">
        <v>35000</v>
      </c>
      <c r="O418">
        <v>12</v>
      </c>
      <c r="P418">
        <v>420000</v>
      </c>
      <c r="Q418">
        <v>181.35</v>
      </c>
      <c r="R418" t="s">
        <v>46</v>
      </c>
      <c r="S418" t="s">
        <v>47</v>
      </c>
      <c r="T418">
        <f t="shared" si="26"/>
        <v>0</v>
      </c>
      <c r="U418" t="str">
        <f t="shared" si="27"/>
        <v>24+ Months</v>
      </c>
    </row>
    <row r="419" spans="1:21">
      <c r="A419" t="s">
        <v>713</v>
      </c>
      <c r="B419" t="s">
        <v>232</v>
      </c>
      <c r="C419" s="2" t="s">
        <v>712</v>
      </c>
      <c r="D419" s="2" t="str">
        <f t="shared" si="24"/>
        <v>Grace Figueroa</v>
      </c>
      <c r="E419">
        <v>53</v>
      </c>
      <c r="F419" s="3" t="str">
        <f t="shared" si="25"/>
        <v>50-59</v>
      </c>
      <c r="G419" t="s">
        <v>197</v>
      </c>
      <c r="H419" t="s">
        <v>35</v>
      </c>
      <c r="I419" t="s">
        <v>36</v>
      </c>
      <c r="J419">
        <v>1</v>
      </c>
      <c r="K419" t="s">
        <v>44</v>
      </c>
      <c r="L419">
        <v>26</v>
      </c>
      <c r="M419" t="s">
        <v>264</v>
      </c>
      <c r="N419">
        <v>6500</v>
      </c>
      <c r="O419">
        <v>6</v>
      </c>
      <c r="P419">
        <v>39000</v>
      </c>
      <c r="Q419">
        <v>60.39</v>
      </c>
      <c r="R419" t="s">
        <v>46</v>
      </c>
      <c r="S419" t="s">
        <v>47</v>
      </c>
      <c r="T419">
        <f t="shared" si="26"/>
        <v>0</v>
      </c>
      <c r="U419" t="str">
        <f t="shared" si="27"/>
        <v>24+ Months</v>
      </c>
    </row>
    <row r="420" spans="1:21">
      <c r="A420" t="s">
        <v>714</v>
      </c>
      <c r="B420" t="s">
        <v>232</v>
      </c>
      <c r="C420" s="2" t="s">
        <v>712</v>
      </c>
      <c r="D420" s="2" t="str">
        <f t="shared" si="24"/>
        <v>Grace Figueroa</v>
      </c>
      <c r="E420">
        <v>53</v>
      </c>
      <c r="F420" s="3" t="str">
        <f t="shared" si="25"/>
        <v>50-59</v>
      </c>
      <c r="G420" t="s">
        <v>197</v>
      </c>
      <c r="H420" t="s">
        <v>51</v>
      </c>
      <c r="I420" t="s">
        <v>36</v>
      </c>
      <c r="J420">
        <v>1</v>
      </c>
      <c r="K420" t="s">
        <v>44</v>
      </c>
      <c r="L420">
        <v>26</v>
      </c>
      <c r="M420" t="s">
        <v>78</v>
      </c>
      <c r="N420">
        <v>24000</v>
      </c>
      <c r="O420">
        <v>4</v>
      </c>
      <c r="P420">
        <v>96000</v>
      </c>
      <c r="Q420">
        <v>36.64</v>
      </c>
      <c r="R420" t="s">
        <v>46</v>
      </c>
      <c r="S420" t="s">
        <v>47</v>
      </c>
      <c r="T420">
        <f t="shared" si="26"/>
        <v>0</v>
      </c>
      <c r="U420" t="str">
        <f t="shared" si="27"/>
        <v>24+ Months</v>
      </c>
    </row>
    <row r="421" spans="1:21" hidden="1">
      <c r="A421" t="s">
        <v>715</v>
      </c>
      <c r="B421" t="s">
        <v>369</v>
      </c>
      <c r="C421" s="2" t="s">
        <v>716</v>
      </c>
      <c r="D421" s="2" t="str">
        <f t="shared" si="24"/>
        <v>John Erickson</v>
      </c>
      <c r="E421">
        <v>32</v>
      </c>
      <c r="F421" s="3" t="str">
        <f t="shared" si="25"/>
        <v>30-39</v>
      </c>
      <c r="G421" t="s">
        <v>197</v>
      </c>
      <c r="H421" t="s">
        <v>43</v>
      </c>
      <c r="I421" t="s">
        <v>26</v>
      </c>
      <c r="J421">
        <v>1</v>
      </c>
      <c r="K421" t="s">
        <v>44</v>
      </c>
      <c r="L421">
        <v>44</v>
      </c>
      <c r="M421" t="s">
        <v>156</v>
      </c>
      <c r="N421">
        <v>25000</v>
      </c>
      <c r="O421">
        <v>10</v>
      </c>
      <c r="P421">
        <v>250000</v>
      </c>
      <c r="Q421">
        <v>52.48</v>
      </c>
      <c r="R421" t="s">
        <v>29</v>
      </c>
      <c r="S421" t="s">
        <v>362</v>
      </c>
      <c r="T421">
        <f t="shared" si="26"/>
        <v>250000</v>
      </c>
      <c r="U421" t="str">
        <f t="shared" si="27"/>
        <v>24+ Months</v>
      </c>
    </row>
    <row r="422" spans="1:21" hidden="1">
      <c r="A422" t="s">
        <v>717</v>
      </c>
      <c r="B422" t="s">
        <v>369</v>
      </c>
      <c r="C422" s="2" t="s">
        <v>716</v>
      </c>
      <c r="D422" s="2" t="str">
        <f t="shared" si="24"/>
        <v>John Erickson</v>
      </c>
      <c r="E422">
        <v>32</v>
      </c>
      <c r="F422" s="3" t="str">
        <f t="shared" si="25"/>
        <v>30-39</v>
      </c>
      <c r="G422" t="s">
        <v>197</v>
      </c>
      <c r="H422" t="s">
        <v>25</v>
      </c>
      <c r="I422" t="s">
        <v>26</v>
      </c>
      <c r="J422">
        <v>1</v>
      </c>
      <c r="K422" t="s">
        <v>44</v>
      </c>
      <c r="L422">
        <v>44</v>
      </c>
      <c r="M422" t="s">
        <v>28</v>
      </c>
      <c r="N422">
        <v>35000</v>
      </c>
      <c r="O422">
        <v>16</v>
      </c>
      <c r="P422">
        <v>560000</v>
      </c>
      <c r="Q422">
        <v>170.32</v>
      </c>
      <c r="R422" t="s">
        <v>29</v>
      </c>
      <c r="S422" t="s">
        <v>362</v>
      </c>
      <c r="T422">
        <f t="shared" si="26"/>
        <v>560000</v>
      </c>
      <c r="U422" t="str">
        <f t="shared" si="27"/>
        <v>24+ Months</v>
      </c>
    </row>
    <row r="423" spans="1:21" hidden="1">
      <c r="A423" t="s">
        <v>718</v>
      </c>
      <c r="B423" t="s">
        <v>369</v>
      </c>
      <c r="C423" s="2" t="s">
        <v>716</v>
      </c>
      <c r="D423" s="2" t="str">
        <f t="shared" si="24"/>
        <v>John Erickson</v>
      </c>
      <c r="E423">
        <v>32</v>
      </c>
      <c r="F423" s="3" t="str">
        <f t="shared" si="25"/>
        <v>30-39</v>
      </c>
      <c r="G423" t="s">
        <v>197</v>
      </c>
      <c r="H423" t="s">
        <v>35</v>
      </c>
      <c r="I423" t="s">
        <v>26</v>
      </c>
      <c r="J423">
        <v>1</v>
      </c>
      <c r="K423" t="s">
        <v>44</v>
      </c>
      <c r="L423">
        <v>44</v>
      </c>
      <c r="M423" t="s">
        <v>137</v>
      </c>
      <c r="N423">
        <v>900</v>
      </c>
      <c r="O423">
        <v>19</v>
      </c>
      <c r="P423">
        <v>17100</v>
      </c>
      <c r="Q423">
        <v>173.35</v>
      </c>
      <c r="R423" t="s">
        <v>29</v>
      </c>
      <c r="S423" t="s">
        <v>362</v>
      </c>
      <c r="T423">
        <f t="shared" si="26"/>
        <v>17100</v>
      </c>
      <c r="U423" t="str">
        <f t="shared" si="27"/>
        <v>24+ Months</v>
      </c>
    </row>
    <row r="424" spans="1:21" hidden="1">
      <c r="A424" t="s">
        <v>719</v>
      </c>
      <c r="B424" t="s">
        <v>121</v>
      </c>
      <c r="C424" s="2" t="s">
        <v>448</v>
      </c>
      <c r="D424" s="2" t="str">
        <f t="shared" si="24"/>
        <v>Kunle Collins</v>
      </c>
      <c r="E424">
        <v>76</v>
      </c>
      <c r="F424" s="3" t="str">
        <f t="shared" si="25"/>
        <v>70-79</v>
      </c>
      <c r="G424" t="s">
        <v>162</v>
      </c>
      <c r="H424" t="s">
        <v>25</v>
      </c>
      <c r="I424" t="s">
        <v>26</v>
      </c>
      <c r="J424">
        <v>5</v>
      </c>
      <c r="K424" t="s">
        <v>68</v>
      </c>
      <c r="L424">
        <v>56</v>
      </c>
      <c r="M424" t="s">
        <v>57</v>
      </c>
      <c r="N424">
        <v>4500</v>
      </c>
      <c r="O424">
        <v>19</v>
      </c>
      <c r="P424">
        <v>85500</v>
      </c>
      <c r="Q424">
        <v>68.86</v>
      </c>
      <c r="R424" t="s">
        <v>29</v>
      </c>
      <c r="S424" t="s">
        <v>97</v>
      </c>
      <c r="T424">
        <f t="shared" si="26"/>
        <v>85500</v>
      </c>
      <c r="U424" t="str">
        <f t="shared" si="27"/>
        <v>24+ Months</v>
      </c>
    </row>
    <row r="425" spans="1:21">
      <c r="A425" t="s">
        <v>720</v>
      </c>
      <c r="B425" t="s">
        <v>214</v>
      </c>
      <c r="C425" s="2" t="s">
        <v>721</v>
      </c>
      <c r="D425" s="2" t="str">
        <f t="shared" si="24"/>
        <v>Zina Dawson</v>
      </c>
      <c r="E425">
        <v>34</v>
      </c>
      <c r="F425" s="3" t="str">
        <f t="shared" si="25"/>
        <v>30-39</v>
      </c>
      <c r="G425" t="s">
        <v>353</v>
      </c>
      <c r="H425" t="s">
        <v>43</v>
      </c>
      <c r="I425" t="s">
        <v>26</v>
      </c>
      <c r="J425">
        <v>4</v>
      </c>
      <c r="K425" t="s">
        <v>155</v>
      </c>
      <c r="L425">
        <v>50</v>
      </c>
      <c r="M425" t="s">
        <v>52</v>
      </c>
      <c r="N425">
        <v>9000</v>
      </c>
      <c r="O425">
        <v>9</v>
      </c>
      <c r="P425">
        <v>81000</v>
      </c>
      <c r="Q425">
        <v>1.44</v>
      </c>
      <c r="R425" t="s">
        <v>46</v>
      </c>
      <c r="S425" t="s">
        <v>47</v>
      </c>
      <c r="T425">
        <f t="shared" si="26"/>
        <v>0</v>
      </c>
      <c r="U425" t="str">
        <f t="shared" si="27"/>
        <v>24+ Months</v>
      </c>
    </row>
    <row r="426" spans="1:21">
      <c r="A426" t="s">
        <v>722</v>
      </c>
      <c r="B426" t="s">
        <v>335</v>
      </c>
      <c r="C426" s="2" t="s">
        <v>723</v>
      </c>
      <c r="D426" s="2" t="str">
        <f t="shared" si="24"/>
        <v>Fatima Scott</v>
      </c>
      <c r="E426">
        <v>37</v>
      </c>
      <c r="F426" s="3" t="str">
        <f t="shared" si="25"/>
        <v>30-39</v>
      </c>
      <c r="G426" t="s">
        <v>34</v>
      </c>
      <c r="H426" t="s">
        <v>35</v>
      </c>
      <c r="I426" t="s">
        <v>36</v>
      </c>
      <c r="J426">
        <v>2</v>
      </c>
      <c r="K426" t="s">
        <v>27</v>
      </c>
      <c r="L426">
        <v>51</v>
      </c>
      <c r="M426" t="s">
        <v>37</v>
      </c>
      <c r="N426">
        <v>5500</v>
      </c>
      <c r="O426">
        <v>2</v>
      </c>
      <c r="P426">
        <v>11000</v>
      </c>
      <c r="Q426">
        <v>76.97</v>
      </c>
      <c r="R426" t="s">
        <v>46</v>
      </c>
      <c r="S426" t="s">
        <v>47</v>
      </c>
      <c r="T426">
        <f t="shared" si="26"/>
        <v>0</v>
      </c>
      <c r="U426" t="str">
        <f t="shared" si="27"/>
        <v>24+ Months</v>
      </c>
    </row>
    <row r="427" spans="1:21">
      <c r="A427" t="s">
        <v>724</v>
      </c>
      <c r="B427" t="s">
        <v>335</v>
      </c>
      <c r="C427" s="2" t="s">
        <v>723</v>
      </c>
      <c r="D427" s="2" t="str">
        <f t="shared" si="24"/>
        <v>Fatima Scott</v>
      </c>
      <c r="E427">
        <v>37</v>
      </c>
      <c r="F427" s="3" t="str">
        <f t="shared" si="25"/>
        <v>30-39</v>
      </c>
      <c r="G427" t="s">
        <v>34</v>
      </c>
      <c r="H427" t="s">
        <v>25</v>
      </c>
      <c r="I427" t="s">
        <v>36</v>
      </c>
      <c r="J427">
        <v>2</v>
      </c>
      <c r="K427" t="s">
        <v>27</v>
      </c>
      <c r="L427">
        <v>51</v>
      </c>
      <c r="M427" t="s">
        <v>57</v>
      </c>
      <c r="N427">
        <v>4500</v>
      </c>
      <c r="O427">
        <v>1</v>
      </c>
      <c r="P427">
        <v>4500</v>
      </c>
      <c r="Q427">
        <v>146.27000000000001</v>
      </c>
      <c r="R427" t="s">
        <v>46</v>
      </c>
      <c r="S427" t="s">
        <v>47</v>
      </c>
      <c r="T427">
        <f t="shared" si="26"/>
        <v>0</v>
      </c>
      <c r="U427" t="str">
        <f t="shared" si="27"/>
        <v>24+ Months</v>
      </c>
    </row>
    <row r="428" spans="1:21">
      <c r="A428" t="s">
        <v>725</v>
      </c>
      <c r="B428" t="s">
        <v>335</v>
      </c>
      <c r="C428" s="2" t="s">
        <v>723</v>
      </c>
      <c r="D428" s="2" t="str">
        <f t="shared" si="24"/>
        <v>Fatima Scott</v>
      </c>
      <c r="E428">
        <v>37</v>
      </c>
      <c r="F428" s="3" t="str">
        <f t="shared" si="25"/>
        <v>30-39</v>
      </c>
      <c r="G428" t="s">
        <v>34</v>
      </c>
      <c r="H428" t="s">
        <v>43</v>
      </c>
      <c r="I428" t="s">
        <v>36</v>
      </c>
      <c r="J428">
        <v>2</v>
      </c>
      <c r="K428" t="s">
        <v>27</v>
      </c>
      <c r="L428">
        <v>51</v>
      </c>
      <c r="M428" t="s">
        <v>156</v>
      </c>
      <c r="N428">
        <v>25000</v>
      </c>
      <c r="O428">
        <v>17</v>
      </c>
      <c r="P428">
        <v>425000</v>
      </c>
      <c r="Q428">
        <v>151.49</v>
      </c>
      <c r="R428" t="s">
        <v>46</v>
      </c>
      <c r="S428" t="s">
        <v>47</v>
      </c>
      <c r="T428">
        <f t="shared" si="26"/>
        <v>0</v>
      </c>
      <c r="U428" t="str">
        <f t="shared" si="27"/>
        <v>24+ Months</v>
      </c>
    </row>
    <row r="429" spans="1:21" hidden="1">
      <c r="A429" t="s">
        <v>726</v>
      </c>
      <c r="B429" t="s">
        <v>84</v>
      </c>
      <c r="C429" s="2" t="s">
        <v>268</v>
      </c>
      <c r="D429" s="2" t="str">
        <f t="shared" si="24"/>
        <v>Bala Smith</v>
      </c>
      <c r="E429">
        <v>18</v>
      </c>
      <c r="F429" s="3" t="str">
        <f t="shared" si="25"/>
        <v>10-19</v>
      </c>
      <c r="G429" t="s">
        <v>628</v>
      </c>
      <c r="H429" t="s">
        <v>35</v>
      </c>
      <c r="I429" t="s">
        <v>26</v>
      </c>
      <c r="J429">
        <v>3</v>
      </c>
      <c r="K429" t="s">
        <v>62</v>
      </c>
      <c r="L429">
        <v>15</v>
      </c>
      <c r="M429" t="s">
        <v>137</v>
      </c>
      <c r="N429">
        <v>900</v>
      </c>
      <c r="O429">
        <v>10</v>
      </c>
      <c r="P429">
        <v>9000</v>
      </c>
      <c r="Q429">
        <v>59.99</v>
      </c>
      <c r="R429" t="s">
        <v>29</v>
      </c>
      <c r="S429" t="s">
        <v>229</v>
      </c>
      <c r="T429">
        <f t="shared" si="26"/>
        <v>9000</v>
      </c>
      <c r="U429" t="str">
        <f t="shared" si="27"/>
        <v>13-24 Months</v>
      </c>
    </row>
    <row r="430" spans="1:21">
      <c r="A430" t="s">
        <v>727</v>
      </c>
      <c r="B430" t="s">
        <v>214</v>
      </c>
      <c r="C430" s="2" t="s">
        <v>728</v>
      </c>
      <c r="D430" s="2" t="str">
        <f t="shared" si="24"/>
        <v>Zina Cochran</v>
      </c>
      <c r="E430">
        <v>59</v>
      </c>
      <c r="F430" s="3" t="str">
        <f t="shared" si="25"/>
        <v>50-59</v>
      </c>
      <c r="G430" t="s">
        <v>24</v>
      </c>
      <c r="H430" t="s">
        <v>35</v>
      </c>
      <c r="I430" t="s">
        <v>26</v>
      </c>
      <c r="J430">
        <v>3</v>
      </c>
      <c r="K430" t="s">
        <v>62</v>
      </c>
      <c r="L430">
        <v>22</v>
      </c>
      <c r="M430" t="s">
        <v>137</v>
      </c>
      <c r="N430">
        <v>900</v>
      </c>
      <c r="O430">
        <v>5</v>
      </c>
      <c r="P430">
        <v>4500</v>
      </c>
      <c r="Q430">
        <v>46.07</v>
      </c>
      <c r="R430" t="s">
        <v>46</v>
      </c>
      <c r="S430" t="s">
        <v>47</v>
      </c>
      <c r="T430">
        <f t="shared" si="26"/>
        <v>0</v>
      </c>
      <c r="U430" t="str">
        <f t="shared" si="27"/>
        <v>13-24 Months</v>
      </c>
    </row>
    <row r="431" spans="1:21">
      <c r="A431" t="s">
        <v>729</v>
      </c>
      <c r="B431" t="s">
        <v>335</v>
      </c>
      <c r="C431" s="2" t="s">
        <v>730</v>
      </c>
      <c r="D431" s="2" t="str">
        <f t="shared" si="24"/>
        <v>Fatima Carpenter</v>
      </c>
      <c r="E431">
        <v>18</v>
      </c>
      <c r="F431" s="3" t="str">
        <f t="shared" si="25"/>
        <v>10-19</v>
      </c>
      <c r="G431" t="s">
        <v>260</v>
      </c>
      <c r="H431" t="s">
        <v>35</v>
      </c>
      <c r="I431" t="s">
        <v>26</v>
      </c>
      <c r="J431">
        <v>1</v>
      </c>
      <c r="K431" t="s">
        <v>44</v>
      </c>
      <c r="L431">
        <v>8</v>
      </c>
      <c r="M431" t="s">
        <v>137</v>
      </c>
      <c r="N431">
        <v>900</v>
      </c>
      <c r="O431">
        <v>1</v>
      </c>
      <c r="P431">
        <v>900</v>
      </c>
      <c r="Q431">
        <v>132.56</v>
      </c>
      <c r="R431" t="s">
        <v>46</v>
      </c>
      <c r="S431" t="s">
        <v>47</v>
      </c>
      <c r="T431">
        <f t="shared" si="26"/>
        <v>0</v>
      </c>
      <c r="U431" t="str">
        <f t="shared" si="27"/>
        <v>7-12 Months</v>
      </c>
    </row>
    <row r="432" spans="1:21" hidden="1">
      <c r="A432" t="s">
        <v>731</v>
      </c>
      <c r="B432" t="s">
        <v>447</v>
      </c>
      <c r="C432" s="2" t="s">
        <v>732</v>
      </c>
      <c r="D432" s="2" t="str">
        <f t="shared" si="24"/>
        <v>Sade Howell</v>
      </c>
      <c r="E432">
        <v>30</v>
      </c>
      <c r="F432" s="3" t="str">
        <f t="shared" si="25"/>
        <v>30-39</v>
      </c>
      <c r="G432" t="s">
        <v>151</v>
      </c>
      <c r="H432" t="s">
        <v>35</v>
      </c>
      <c r="I432" t="s">
        <v>36</v>
      </c>
      <c r="J432">
        <v>5</v>
      </c>
      <c r="K432" t="s">
        <v>68</v>
      </c>
      <c r="L432">
        <v>25</v>
      </c>
      <c r="M432" t="s">
        <v>73</v>
      </c>
      <c r="N432">
        <v>16000</v>
      </c>
      <c r="O432">
        <v>4</v>
      </c>
      <c r="P432">
        <v>64000</v>
      </c>
      <c r="Q432">
        <v>60.57</v>
      </c>
      <c r="R432" t="s">
        <v>29</v>
      </c>
      <c r="S432" t="s">
        <v>393</v>
      </c>
      <c r="T432">
        <f t="shared" si="26"/>
        <v>64000</v>
      </c>
      <c r="U432" t="str">
        <f t="shared" si="27"/>
        <v>24+ Months</v>
      </c>
    </row>
    <row r="433" spans="1:21">
      <c r="A433" t="s">
        <v>733</v>
      </c>
      <c r="B433" t="s">
        <v>385</v>
      </c>
      <c r="C433" s="2" t="s">
        <v>250</v>
      </c>
      <c r="D433" s="2" t="str">
        <f t="shared" si="24"/>
        <v>Sarah Stevens</v>
      </c>
      <c r="E433">
        <v>50</v>
      </c>
      <c r="F433" s="3" t="str">
        <f t="shared" si="25"/>
        <v>50-59</v>
      </c>
      <c r="G433" t="s">
        <v>194</v>
      </c>
      <c r="H433" t="s">
        <v>43</v>
      </c>
      <c r="I433" t="s">
        <v>36</v>
      </c>
      <c r="J433">
        <v>5</v>
      </c>
      <c r="K433" t="s">
        <v>68</v>
      </c>
      <c r="L433">
        <v>54</v>
      </c>
      <c r="M433" t="s">
        <v>45</v>
      </c>
      <c r="N433">
        <v>20000</v>
      </c>
      <c r="O433">
        <v>16</v>
      </c>
      <c r="P433">
        <v>320000</v>
      </c>
      <c r="Q433">
        <v>157.06</v>
      </c>
      <c r="R433" t="s">
        <v>46</v>
      </c>
      <c r="S433" t="s">
        <v>47</v>
      </c>
      <c r="T433">
        <f t="shared" si="26"/>
        <v>0</v>
      </c>
      <c r="U433" t="str">
        <f t="shared" si="27"/>
        <v>24+ Months</v>
      </c>
    </row>
    <row r="434" spans="1:21" hidden="1">
      <c r="A434" t="s">
        <v>734</v>
      </c>
      <c r="B434" t="s">
        <v>84</v>
      </c>
      <c r="C434" s="2" t="s">
        <v>735</v>
      </c>
      <c r="D434" s="2" t="str">
        <f t="shared" si="24"/>
        <v>Bala Cummings</v>
      </c>
      <c r="E434">
        <v>41</v>
      </c>
      <c r="F434" s="3" t="str">
        <f t="shared" si="25"/>
        <v>40-49</v>
      </c>
      <c r="G434" t="s">
        <v>197</v>
      </c>
      <c r="H434" t="s">
        <v>35</v>
      </c>
      <c r="I434" t="s">
        <v>26</v>
      </c>
      <c r="J434">
        <v>3</v>
      </c>
      <c r="K434" t="s">
        <v>62</v>
      </c>
      <c r="L434">
        <v>23</v>
      </c>
      <c r="M434" t="s">
        <v>28</v>
      </c>
      <c r="N434">
        <v>35000</v>
      </c>
      <c r="O434">
        <v>1</v>
      </c>
      <c r="P434">
        <v>35000</v>
      </c>
      <c r="Q434">
        <v>66.459999999999994</v>
      </c>
      <c r="R434" t="s">
        <v>29</v>
      </c>
      <c r="S434" t="s">
        <v>30</v>
      </c>
      <c r="T434">
        <f t="shared" si="26"/>
        <v>35000</v>
      </c>
      <c r="U434" t="str">
        <f t="shared" si="27"/>
        <v>13-24 Months</v>
      </c>
    </row>
    <row r="435" spans="1:21" hidden="1">
      <c r="A435" t="s">
        <v>736</v>
      </c>
      <c r="B435" t="s">
        <v>84</v>
      </c>
      <c r="C435" s="2" t="s">
        <v>735</v>
      </c>
      <c r="D435" s="2" t="str">
        <f t="shared" si="24"/>
        <v>Bala Cummings</v>
      </c>
      <c r="E435">
        <v>41</v>
      </c>
      <c r="F435" s="3" t="str">
        <f t="shared" si="25"/>
        <v>40-49</v>
      </c>
      <c r="G435" t="s">
        <v>197</v>
      </c>
      <c r="H435" t="s">
        <v>43</v>
      </c>
      <c r="I435" t="s">
        <v>26</v>
      </c>
      <c r="J435">
        <v>3</v>
      </c>
      <c r="K435" t="s">
        <v>62</v>
      </c>
      <c r="L435">
        <v>23</v>
      </c>
      <c r="M435" t="s">
        <v>52</v>
      </c>
      <c r="N435">
        <v>9000</v>
      </c>
      <c r="O435">
        <v>4</v>
      </c>
      <c r="P435">
        <v>36000</v>
      </c>
      <c r="Q435">
        <v>134.49</v>
      </c>
      <c r="R435" t="s">
        <v>29</v>
      </c>
      <c r="S435" t="s">
        <v>30</v>
      </c>
      <c r="T435">
        <f t="shared" si="26"/>
        <v>36000</v>
      </c>
      <c r="U435" t="str">
        <f t="shared" si="27"/>
        <v>13-24 Months</v>
      </c>
    </row>
    <row r="436" spans="1:21">
      <c r="A436" t="s">
        <v>737</v>
      </c>
      <c r="B436" t="s">
        <v>232</v>
      </c>
      <c r="C436" s="2" t="s">
        <v>253</v>
      </c>
      <c r="D436" s="2" t="str">
        <f t="shared" si="24"/>
        <v>Grace Carter</v>
      </c>
      <c r="E436">
        <v>35</v>
      </c>
      <c r="F436" s="3" t="str">
        <f t="shared" si="25"/>
        <v>30-39</v>
      </c>
      <c r="G436" t="s">
        <v>415</v>
      </c>
      <c r="H436" t="s">
        <v>43</v>
      </c>
      <c r="I436" t="s">
        <v>26</v>
      </c>
      <c r="J436">
        <v>3</v>
      </c>
      <c r="K436" t="s">
        <v>62</v>
      </c>
      <c r="L436">
        <v>47</v>
      </c>
      <c r="M436" t="s">
        <v>71</v>
      </c>
      <c r="N436">
        <v>150000</v>
      </c>
      <c r="O436">
        <v>6</v>
      </c>
      <c r="P436">
        <v>900000</v>
      </c>
      <c r="Q436">
        <v>10.49</v>
      </c>
      <c r="R436" t="s">
        <v>46</v>
      </c>
      <c r="S436" t="s">
        <v>47</v>
      </c>
      <c r="T436">
        <f t="shared" si="26"/>
        <v>0</v>
      </c>
      <c r="U436" t="str">
        <f t="shared" si="27"/>
        <v>24+ Months</v>
      </c>
    </row>
    <row r="437" spans="1:21">
      <c r="A437" t="s">
        <v>738</v>
      </c>
      <c r="B437" t="s">
        <v>232</v>
      </c>
      <c r="C437" s="2" t="s">
        <v>253</v>
      </c>
      <c r="D437" s="2" t="str">
        <f t="shared" si="24"/>
        <v>Grace Carter</v>
      </c>
      <c r="E437">
        <v>35</v>
      </c>
      <c r="F437" s="3" t="str">
        <f t="shared" si="25"/>
        <v>30-39</v>
      </c>
      <c r="G437" t="s">
        <v>415</v>
      </c>
      <c r="H437" t="s">
        <v>25</v>
      </c>
      <c r="I437" t="s">
        <v>26</v>
      </c>
      <c r="J437">
        <v>3</v>
      </c>
      <c r="K437" t="s">
        <v>62</v>
      </c>
      <c r="L437">
        <v>47</v>
      </c>
      <c r="M437" t="s">
        <v>73</v>
      </c>
      <c r="N437">
        <v>16000</v>
      </c>
      <c r="O437">
        <v>12</v>
      </c>
      <c r="P437">
        <v>192000</v>
      </c>
      <c r="Q437">
        <v>170.52</v>
      </c>
      <c r="R437" t="s">
        <v>46</v>
      </c>
      <c r="S437" t="s">
        <v>47</v>
      </c>
      <c r="T437">
        <f t="shared" si="26"/>
        <v>0</v>
      </c>
      <c r="U437" t="str">
        <f t="shared" si="27"/>
        <v>24+ Months</v>
      </c>
    </row>
    <row r="438" spans="1:21">
      <c r="A438" t="s">
        <v>739</v>
      </c>
      <c r="B438" t="s">
        <v>166</v>
      </c>
      <c r="C438" s="2" t="s">
        <v>76</v>
      </c>
      <c r="D438" s="2" t="str">
        <f t="shared" si="24"/>
        <v>Ese Stewart</v>
      </c>
      <c r="E438">
        <v>70</v>
      </c>
      <c r="F438" s="3" t="str">
        <f t="shared" si="25"/>
        <v>70-79</v>
      </c>
      <c r="G438" t="s">
        <v>240</v>
      </c>
      <c r="H438" t="s">
        <v>25</v>
      </c>
      <c r="I438" t="s">
        <v>26</v>
      </c>
      <c r="J438">
        <v>1</v>
      </c>
      <c r="K438" t="s">
        <v>44</v>
      </c>
      <c r="L438">
        <v>55</v>
      </c>
      <c r="M438" t="s">
        <v>28</v>
      </c>
      <c r="N438">
        <v>35000</v>
      </c>
      <c r="O438">
        <v>9</v>
      </c>
      <c r="P438">
        <v>315000</v>
      </c>
      <c r="Q438">
        <v>191.04</v>
      </c>
      <c r="R438" t="s">
        <v>46</v>
      </c>
      <c r="S438" t="s">
        <v>47</v>
      </c>
      <c r="T438">
        <f t="shared" si="26"/>
        <v>0</v>
      </c>
      <c r="U438" t="str">
        <f t="shared" si="27"/>
        <v>24+ Months</v>
      </c>
    </row>
    <row r="439" spans="1:21">
      <c r="A439" t="s">
        <v>740</v>
      </c>
      <c r="B439" t="s">
        <v>166</v>
      </c>
      <c r="C439" s="2" t="s">
        <v>76</v>
      </c>
      <c r="D439" s="2" t="str">
        <f t="shared" si="24"/>
        <v>Ese Stewart</v>
      </c>
      <c r="E439">
        <v>70</v>
      </c>
      <c r="F439" s="3" t="str">
        <f t="shared" si="25"/>
        <v>70-79</v>
      </c>
      <c r="G439" t="s">
        <v>240</v>
      </c>
      <c r="H439" t="s">
        <v>35</v>
      </c>
      <c r="I439" t="s">
        <v>26</v>
      </c>
      <c r="J439">
        <v>1</v>
      </c>
      <c r="K439" t="s">
        <v>44</v>
      </c>
      <c r="L439">
        <v>55</v>
      </c>
      <c r="M439" t="s">
        <v>108</v>
      </c>
      <c r="N439">
        <v>1000</v>
      </c>
      <c r="O439">
        <v>11</v>
      </c>
      <c r="P439">
        <v>11000</v>
      </c>
      <c r="Q439">
        <v>74.84</v>
      </c>
      <c r="R439" t="s">
        <v>46</v>
      </c>
      <c r="S439" t="s">
        <v>47</v>
      </c>
      <c r="T439">
        <f t="shared" si="26"/>
        <v>0</v>
      </c>
      <c r="U439" t="str">
        <f t="shared" si="27"/>
        <v>24+ Months</v>
      </c>
    </row>
    <row r="440" spans="1:21">
      <c r="A440" t="s">
        <v>741</v>
      </c>
      <c r="B440" t="s">
        <v>166</v>
      </c>
      <c r="C440" s="2" t="s">
        <v>76</v>
      </c>
      <c r="D440" s="2" t="str">
        <f t="shared" si="24"/>
        <v>Ese Stewart</v>
      </c>
      <c r="E440">
        <v>70</v>
      </c>
      <c r="F440" s="3" t="str">
        <f t="shared" si="25"/>
        <v>70-79</v>
      </c>
      <c r="G440" t="s">
        <v>240</v>
      </c>
      <c r="H440" t="s">
        <v>43</v>
      </c>
      <c r="I440" t="s">
        <v>26</v>
      </c>
      <c r="J440">
        <v>1</v>
      </c>
      <c r="K440" t="s">
        <v>44</v>
      </c>
      <c r="L440">
        <v>55</v>
      </c>
      <c r="M440" t="s">
        <v>82</v>
      </c>
      <c r="N440">
        <v>30000</v>
      </c>
      <c r="O440">
        <v>13</v>
      </c>
      <c r="P440">
        <v>390000</v>
      </c>
      <c r="Q440">
        <v>23.21</v>
      </c>
      <c r="R440" t="s">
        <v>46</v>
      </c>
      <c r="S440" t="s">
        <v>47</v>
      </c>
      <c r="T440">
        <f t="shared" si="26"/>
        <v>0</v>
      </c>
      <c r="U440" t="str">
        <f t="shared" si="27"/>
        <v>24+ Months</v>
      </c>
    </row>
    <row r="441" spans="1:21" hidden="1">
      <c r="A441" t="s">
        <v>742</v>
      </c>
      <c r="B441" t="s">
        <v>214</v>
      </c>
      <c r="C441" s="2" t="s">
        <v>743</v>
      </c>
      <c r="D441" s="2" t="str">
        <f t="shared" si="24"/>
        <v>Zina Fuller</v>
      </c>
      <c r="E441">
        <v>50</v>
      </c>
      <c r="F441" s="3" t="str">
        <f t="shared" si="25"/>
        <v>50-59</v>
      </c>
      <c r="G441" t="s">
        <v>77</v>
      </c>
      <c r="H441" t="s">
        <v>51</v>
      </c>
      <c r="I441" t="s">
        <v>36</v>
      </c>
      <c r="J441">
        <v>2</v>
      </c>
      <c r="K441" t="s">
        <v>27</v>
      </c>
      <c r="L441">
        <v>52</v>
      </c>
      <c r="M441" t="s">
        <v>91</v>
      </c>
      <c r="N441">
        <v>14500</v>
      </c>
      <c r="O441">
        <v>16</v>
      </c>
      <c r="P441">
        <v>232000</v>
      </c>
      <c r="Q441">
        <v>182.29</v>
      </c>
      <c r="R441" t="s">
        <v>29</v>
      </c>
      <c r="S441" t="s">
        <v>393</v>
      </c>
      <c r="T441">
        <f t="shared" si="26"/>
        <v>232000</v>
      </c>
      <c r="U441" t="str">
        <f t="shared" si="27"/>
        <v>24+ Months</v>
      </c>
    </row>
    <row r="442" spans="1:21" hidden="1">
      <c r="A442" t="s">
        <v>744</v>
      </c>
      <c r="B442" t="s">
        <v>214</v>
      </c>
      <c r="C442" s="2" t="s">
        <v>743</v>
      </c>
      <c r="D442" s="2" t="str">
        <f t="shared" si="24"/>
        <v>Zina Fuller</v>
      </c>
      <c r="E442">
        <v>50</v>
      </c>
      <c r="F442" s="3" t="str">
        <f t="shared" si="25"/>
        <v>50-59</v>
      </c>
      <c r="G442" t="s">
        <v>77</v>
      </c>
      <c r="H442" t="s">
        <v>35</v>
      </c>
      <c r="I442" t="s">
        <v>36</v>
      </c>
      <c r="J442">
        <v>2</v>
      </c>
      <c r="K442" t="s">
        <v>27</v>
      </c>
      <c r="L442">
        <v>52</v>
      </c>
      <c r="M442" t="s">
        <v>37</v>
      </c>
      <c r="N442">
        <v>5500</v>
      </c>
      <c r="O442">
        <v>13</v>
      </c>
      <c r="P442">
        <v>71500</v>
      </c>
      <c r="Q442">
        <v>36.659999999999997</v>
      </c>
      <c r="R442" t="s">
        <v>29</v>
      </c>
      <c r="S442" t="s">
        <v>393</v>
      </c>
      <c r="T442">
        <f t="shared" si="26"/>
        <v>71500</v>
      </c>
      <c r="U442" t="str">
        <f t="shared" si="27"/>
        <v>24+ Months</v>
      </c>
    </row>
    <row r="443" spans="1:21" hidden="1">
      <c r="A443" t="s">
        <v>745</v>
      </c>
      <c r="B443" t="s">
        <v>214</v>
      </c>
      <c r="C443" s="2" t="s">
        <v>743</v>
      </c>
      <c r="D443" s="2" t="str">
        <f t="shared" si="24"/>
        <v>Zina Fuller</v>
      </c>
      <c r="E443">
        <v>50</v>
      </c>
      <c r="F443" s="3" t="str">
        <f t="shared" si="25"/>
        <v>50-59</v>
      </c>
      <c r="G443" t="s">
        <v>77</v>
      </c>
      <c r="H443" t="s">
        <v>43</v>
      </c>
      <c r="I443" t="s">
        <v>36</v>
      </c>
      <c r="J443">
        <v>2</v>
      </c>
      <c r="K443" t="s">
        <v>27</v>
      </c>
      <c r="L443">
        <v>52</v>
      </c>
      <c r="M443" t="s">
        <v>156</v>
      </c>
      <c r="N443">
        <v>25000</v>
      </c>
      <c r="O443">
        <v>5</v>
      </c>
      <c r="P443">
        <v>125000</v>
      </c>
      <c r="Q443">
        <v>122.47</v>
      </c>
      <c r="R443" t="s">
        <v>29</v>
      </c>
      <c r="S443" t="s">
        <v>393</v>
      </c>
      <c r="T443">
        <f t="shared" si="26"/>
        <v>125000</v>
      </c>
      <c r="U443" t="str">
        <f t="shared" si="27"/>
        <v>24+ Months</v>
      </c>
    </row>
    <row r="444" spans="1:21" hidden="1">
      <c r="A444" t="s">
        <v>746</v>
      </c>
      <c r="B444" t="s">
        <v>369</v>
      </c>
      <c r="C444" s="2" t="s">
        <v>747</v>
      </c>
      <c r="D444" s="2" t="str">
        <f t="shared" si="24"/>
        <v>John Edwards</v>
      </c>
      <c r="E444">
        <v>78</v>
      </c>
      <c r="F444" s="3" t="str">
        <f t="shared" si="25"/>
        <v>70-79</v>
      </c>
      <c r="G444" t="s">
        <v>240</v>
      </c>
      <c r="H444" t="s">
        <v>35</v>
      </c>
      <c r="I444" t="s">
        <v>36</v>
      </c>
      <c r="J444">
        <v>1</v>
      </c>
      <c r="K444" t="s">
        <v>44</v>
      </c>
      <c r="L444">
        <v>29</v>
      </c>
      <c r="M444" t="s">
        <v>63</v>
      </c>
      <c r="N444">
        <v>9000</v>
      </c>
      <c r="O444">
        <v>20</v>
      </c>
      <c r="P444">
        <v>180000</v>
      </c>
      <c r="Q444">
        <v>104.06</v>
      </c>
      <c r="R444" t="s">
        <v>29</v>
      </c>
      <c r="S444" t="s">
        <v>129</v>
      </c>
      <c r="T444">
        <f t="shared" si="26"/>
        <v>180000</v>
      </c>
      <c r="U444" t="str">
        <f t="shared" si="27"/>
        <v>24+ Months</v>
      </c>
    </row>
    <row r="445" spans="1:21">
      <c r="A445" t="s">
        <v>748</v>
      </c>
      <c r="B445" t="s">
        <v>22</v>
      </c>
      <c r="C445" s="2" t="s">
        <v>749</v>
      </c>
      <c r="D445" s="2" t="str">
        <f t="shared" si="24"/>
        <v>Ngozi Pierce</v>
      </c>
      <c r="E445">
        <v>71</v>
      </c>
      <c r="F445" s="3" t="str">
        <f t="shared" si="25"/>
        <v>70-79</v>
      </c>
      <c r="G445" t="s">
        <v>89</v>
      </c>
      <c r="H445" t="s">
        <v>51</v>
      </c>
      <c r="I445" t="s">
        <v>36</v>
      </c>
      <c r="J445">
        <v>2</v>
      </c>
      <c r="K445" t="s">
        <v>27</v>
      </c>
      <c r="L445">
        <v>23</v>
      </c>
      <c r="M445" t="s">
        <v>78</v>
      </c>
      <c r="N445">
        <v>24000</v>
      </c>
      <c r="O445">
        <v>16</v>
      </c>
      <c r="P445">
        <v>384000</v>
      </c>
      <c r="Q445">
        <v>169.84</v>
      </c>
      <c r="R445" t="s">
        <v>46</v>
      </c>
      <c r="S445" t="s">
        <v>47</v>
      </c>
      <c r="T445">
        <f t="shared" si="26"/>
        <v>0</v>
      </c>
      <c r="U445" t="str">
        <f t="shared" si="27"/>
        <v>13-24 Months</v>
      </c>
    </row>
    <row r="446" spans="1:21">
      <c r="A446" t="s">
        <v>750</v>
      </c>
      <c r="B446" t="s">
        <v>22</v>
      </c>
      <c r="C446" s="2" t="s">
        <v>749</v>
      </c>
      <c r="D446" s="2" t="str">
        <f t="shared" si="24"/>
        <v>Ngozi Pierce</v>
      </c>
      <c r="E446">
        <v>71</v>
      </c>
      <c r="F446" s="3" t="str">
        <f t="shared" si="25"/>
        <v>70-79</v>
      </c>
      <c r="G446" t="s">
        <v>89</v>
      </c>
      <c r="H446" t="s">
        <v>35</v>
      </c>
      <c r="I446" t="s">
        <v>36</v>
      </c>
      <c r="J446">
        <v>2</v>
      </c>
      <c r="K446" t="s">
        <v>27</v>
      </c>
      <c r="L446">
        <v>23</v>
      </c>
      <c r="M446" t="s">
        <v>227</v>
      </c>
      <c r="N446">
        <v>600</v>
      </c>
      <c r="O446">
        <v>16</v>
      </c>
      <c r="P446">
        <v>9600</v>
      </c>
      <c r="Q446">
        <v>15.44</v>
      </c>
      <c r="R446" t="s">
        <v>46</v>
      </c>
      <c r="S446" t="s">
        <v>47</v>
      </c>
      <c r="T446">
        <f t="shared" si="26"/>
        <v>0</v>
      </c>
      <c r="U446" t="str">
        <f t="shared" si="27"/>
        <v>13-24 Months</v>
      </c>
    </row>
    <row r="447" spans="1:21">
      <c r="A447" t="s">
        <v>751</v>
      </c>
      <c r="B447" t="s">
        <v>22</v>
      </c>
      <c r="C447" s="2" t="s">
        <v>749</v>
      </c>
      <c r="D447" s="2" t="str">
        <f t="shared" si="24"/>
        <v>Ngozi Pierce</v>
      </c>
      <c r="E447">
        <v>71</v>
      </c>
      <c r="F447" s="3" t="str">
        <f t="shared" si="25"/>
        <v>70-79</v>
      </c>
      <c r="G447" t="s">
        <v>89</v>
      </c>
      <c r="H447" t="s">
        <v>43</v>
      </c>
      <c r="I447" t="s">
        <v>36</v>
      </c>
      <c r="J447">
        <v>2</v>
      </c>
      <c r="K447" t="s">
        <v>27</v>
      </c>
      <c r="L447">
        <v>23</v>
      </c>
      <c r="M447" t="s">
        <v>156</v>
      </c>
      <c r="N447">
        <v>25000</v>
      </c>
      <c r="O447">
        <v>9</v>
      </c>
      <c r="P447">
        <v>225000</v>
      </c>
      <c r="Q447">
        <v>48.56</v>
      </c>
      <c r="R447" t="s">
        <v>46</v>
      </c>
      <c r="S447" t="s">
        <v>47</v>
      </c>
      <c r="T447">
        <f t="shared" si="26"/>
        <v>0</v>
      </c>
      <c r="U447" t="str">
        <f t="shared" si="27"/>
        <v>13-24 Months</v>
      </c>
    </row>
    <row r="448" spans="1:21">
      <c r="A448" t="s">
        <v>752</v>
      </c>
      <c r="B448" t="s">
        <v>447</v>
      </c>
      <c r="C448" s="2" t="s">
        <v>268</v>
      </c>
      <c r="D448" s="2" t="str">
        <f t="shared" si="24"/>
        <v>Sade Smith</v>
      </c>
      <c r="E448">
        <v>80</v>
      </c>
      <c r="F448" s="3" t="str">
        <f t="shared" si="25"/>
        <v>80-89</v>
      </c>
      <c r="G448" t="s">
        <v>154</v>
      </c>
      <c r="H448" t="s">
        <v>35</v>
      </c>
      <c r="I448" t="s">
        <v>36</v>
      </c>
      <c r="J448">
        <v>1</v>
      </c>
      <c r="K448" t="s">
        <v>44</v>
      </c>
      <c r="L448">
        <v>26</v>
      </c>
      <c r="M448" t="s">
        <v>37</v>
      </c>
      <c r="N448">
        <v>5500</v>
      </c>
      <c r="O448">
        <v>16</v>
      </c>
      <c r="P448">
        <v>88000</v>
      </c>
      <c r="Q448">
        <v>63.55</v>
      </c>
      <c r="R448" t="s">
        <v>46</v>
      </c>
      <c r="S448" t="s">
        <v>47</v>
      </c>
      <c r="T448">
        <f t="shared" si="26"/>
        <v>0</v>
      </c>
      <c r="U448" t="str">
        <f t="shared" si="27"/>
        <v>24+ Months</v>
      </c>
    </row>
    <row r="449" spans="1:21">
      <c r="A449" t="s">
        <v>753</v>
      </c>
      <c r="B449" t="s">
        <v>447</v>
      </c>
      <c r="C449" s="2" t="s">
        <v>268</v>
      </c>
      <c r="D449" s="2" t="str">
        <f t="shared" si="24"/>
        <v>Sade Smith</v>
      </c>
      <c r="E449">
        <v>80</v>
      </c>
      <c r="F449" s="3" t="str">
        <f t="shared" si="25"/>
        <v>80-89</v>
      </c>
      <c r="G449" t="s">
        <v>154</v>
      </c>
      <c r="H449" t="s">
        <v>51</v>
      </c>
      <c r="I449" t="s">
        <v>36</v>
      </c>
      <c r="J449">
        <v>1</v>
      </c>
      <c r="K449" t="s">
        <v>44</v>
      </c>
      <c r="L449">
        <v>26</v>
      </c>
      <c r="M449" t="s">
        <v>52</v>
      </c>
      <c r="N449">
        <v>9000</v>
      </c>
      <c r="O449">
        <v>14</v>
      </c>
      <c r="P449">
        <v>126000</v>
      </c>
      <c r="Q449">
        <v>20.98</v>
      </c>
      <c r="R449" t="s">
        <v>46</v>
      </c>
      <c r="S449" t="s">
        <v>47</v>
      </c>
      <c r="T449">
        <f t="shared" si="26"/>
        <v>0</v>
      </c>
      <c r="U449" t="str">
        <f t="shared" si="27"/>
        <v>24+ Months</v>
      </c>
    </row>
    <row r="450" spans="1:21">
      <c r="A450" t="s">
        <v>754</v>
      </c>
      <c r="B450" t="s">
        <v>447</v>
      </c>
      <c r="C450" s="2" t="s">
        <v>268</v>
      </c>
      <c r="D450" s="2" t="str">
        <f t="shared" si="24"/>
        <v>Sade Smith</v>
      </c>
      <c r="E450">
        <v>80</v>
      </c>
      <c r="F450" s="3" t="str">
        <f t="shared" si="25"/>
        <v>80-89</v>
      </c>
      <c r="G450" t="s">
        <v>154</v>
      </c>
      <c r="H450" t="s">
        <v>35</v>
      </c>
      <c r="I450" t="s">
        <v>36</v>
      </c>
      <c r="J450">
        <v>1</v>
      </c>
      <c r="K450" t="s">
        <v>44</v>
      </c>
      <c r="L450">
        <v>26</v>
      </c>
      <c r="M450" t="s">
        <v>73</v>
      </c>
      <c r="N450">
        <v>16000</v>
      </c>
      <c r="O450">
        <v>1</v>
      </c>
      <c r="P450">
        <v>16000</v>
      </c>
      <c r="Q450">
        <v>111.65</v>
      </c>
      <c r="R450" t="s">
        <v>46</v>
      </c>
      <c r="S450" t="s">
        <v>47</v>
      </c>
      <c r="T450">
        <f t="shared" si="26"/>
        <v>0</v>
      </c>
      <c r="U450" t="str">
        <f t="shared" si="27"/>
        <v>24+ Months</v>
      </c>
    </row>
    <row r="451" spans="1:21">
      <c r="A451" t="s">
        <v>755</v>
      </c>
      <c r="B451" t="s">
        <v>219</v>
      </c>
      <c r="C451" s="2" t="s">
        <v>756</v>
      </c>
      <c r="D451" s="2" t="str">
        <f t="shared" ref="D451:D514" si="28">B451&amp;" "&amp;C451</f>
        <v>Chinedu Hughes</v>
      </c>
      <c r="E451">
        <v>54</v>
      </c>
      <c r="F451" s="3" t="str">
        <f t="shared" ref="F451:F514" si="29">FLOOR(E451, 10)&amp;"-"&amp;FLOOR(E451, 10)+9</f>
        <v>50-59</v>
      </c>
      <c r="G451" t="s">
        <v>260</v>
      </c>
      <c r="H451" t="s">
        <v>25</v>
      </c>
      <c r="I451" t="s">
        <v>26</v>
      </c>
      <c r="J451">
        <v>3</v>
      </c>
      <c r="K451" t="s">
        <v>62</v>
      </c>
      <c r="L451">
        <v>42</v>
      </c>
      <c r="M451" t="s">
        <v>28</v>
      </c>
      <c r="N451">
        <v>35000</v>
      </c>
      <c r="O451">
        <v>20</v>
      </c>
      <c r="P451">
        <v>700000</v>
      </c>
      <c r="Q451">
        <v>66.73</v>
      </c>
      <c r="R451" t="s">
        <v>46</v>
      </c>
      <c r="S451" t="s">
        <v>47</v>
      </c>
      <c r="T451">
        <f t="shared" ref="T451:T514" si="30">IF(R451="Yes",P451,0)</f>
        <v>0</v>
      </c>
      <c r="U451" t="str">
        <f t="shared" ref="U451:U514" si="31">IF(L451&lt;=6,"0-6 Months",
IF(L451&lt;=12,"7-12 Months",
IF(L451&lt;=24,"13-24 Months","24+ Months")))</f>
        <v>24+ Months</v>
      </c>
    </row>
    <row r="452" spans="1:21">
      <c r="A452" t="s">
        <v>757</v>
      </c>
      <c r="B452" t="s">
        <v>369</v>
      </c>
      <c r="C452" s="2" t="s">
        <v>758</v>
      </c>
      <c r="D452" s="2" t="str">
        <f t="shared" si="28"/>
        <v>John Benjamin</v>
      </c>
      <c r="E452">
        <v>62</v>
      </c>
      <c r="F452" s="3" t="str">
        <f t="shared" si="29"/>
        <v>60-69</v>
      </c>
      <c r="G452" t="s">
        <v>272</v>
      </c>
      <c r="H452" t="s">
        <v>43</v>
      </c>
      <c r="I452" t="s">
        <v>26</v>
      </c>
      <c r="J452">
        <v>1</v>
      </c>
      <c r="K452" t="s">
        <v>44</v>
      </c>
      <c r="L452">
        <v>7</v>
      </c>
      <c r="M452" t="s">
        <v>45</v>
      </c>
      <c r="N452">
        <v>20000</v>
      </c>
      <c r="O452">
        <v>6</v>
      </c>
      <c r="P452">
        <v>120000</v>
      </c>
      <c r="Q452">
        <v>9.6300000000000008</v>
      </c>
      <c r="R452" t="s">
        <v>46</v>
      </c>
      <c r="S452" t="s">
        <v>47</v>
      </c>
      <c r="T452">
        <f t="shared" si="30"/>
        <v>0</v>
      </c>
      <c r="U452" t="str">
        <f t="shared" si="31"/>
        <v>7-12 Months</v>
      </c>
    </row>
    <row r="453" spans="1:21">
      <c r="A453" t="s">
        <v>759</v>
      </c>
      <c r="B453" t="s">
        <v>369</v>
      </c>
      <c r="C453" s="2" t="s">
        <v>758</v>
      </c>
      <c r="D453" s="2" t="str">
        <f t="shared" si="28"/>
        <v>John Benjamin</v>
      </c>
      <c r="E453">
        <v>62</v>
      </c>
      <c r="F453" s="3" t="str">
        <f t="shared" si="29"/>
        <v>60-69</v>
      </c>
      <c r="G453" t="s">
        <v>272</v>
      </c>
      <c r="H453" t="s">
        <v>35</v>
      </c>
      <c r="I453" t="s">
        <v>26</v>
      </c>
      <c r="J453">
        <v>1</v>
      </c>
      <c r="K453" t="s">
        <v>44</v>
      </c>
      <c r="L453">
        <v>7</v>
      </c>
      <c r="M453" t="s">
        <v>37</v>
      </c>
      <c r="N453">
        <v>5500</v>
      </c>
      <c r="O453">
        <v>14</v>
      </c>
      <c r="P453">
        <v>77000</v>
      </c>
      <c r="Q453">
        <v>28.52</v>
      </c>
      <c r="R453" t="s">
        <v>46</v>
      </c>
      <c r="S453" t="s">
        <v>47</v>
      </c>
      <c r="T453">
        <f t="shared" si="30"/>
        <v>0</v>
      </c>
      <c r="U453" t="str">
        <f t="shared" si="31"/>
        <v>7-12 Months</v>
      </c>
    </row>
    <row r="454" spans="1:21">
      <c r="A454" t="s">
        <v>760</v>
      </c>
      <c r="B454" t="s">
        <v>369</v>
      </c>
      <c r="C454" s="2" t="s">
        <v>758</v>
      </c>
      <c r="D454" s="2" t="str">
        <f t="shared" si="28"/>
        <v>John Benjamin</v>
      </c>
      <c r="E454">
        <v>62</v>
      </c>
      <c r="F454" s="3" t="str">
        <f t="shared" si="29"/>
        <v>60-69</v>
      </c>
      <c r="G454" t="s">
        <v>272</v>
      </c>
      <c r="H454" t="s">
        <v>25</v>
      </c>
      <c r="I454" t="s">
        <v>26</v>
      </c>
      <c r="J454">
        <v>1</v>
      </c>
      <c r="K454" t="s">
        <v>44</v>
      </c>
      <c r="L454">
        <v>7</v>
      </c>
      <c r="M454" t="s">
        <v>73</v>
      </c>
      <c r="N454">
        <v>16000</v>
      </c>
      <c r="O454">
        <v>7</v>
      </c>
      <c r="P454">
        <v>112000</v>
      </c>
      <c r="Q454">
        <v>51.23</v>
      </c>
      <c r="R454" t="s">
        <v>46</v>
      </c>
      <c r="S454" t="s">
        <v>47</v>
      </c>
      <c r="T454">
        <f t="shared" si="30"/>
        <v>0</v>
      </c>
      <c r="U454" t="str">
        <f t="shared" si="31"/>
        <v>7-12 Months</v>
      </c>
    </row>
    <row r="455" spans="1:21" hidden="1">
      <c r="A455" t="s">
        <v>761</v>
      </c>
      <c r="B455" t="s">
        <v>84</v>
      </c>
      <c r="C455" s="2" t="s">
        <v>762</v>
      </c>
      <c r="D455" s="2" t="str">
        <f t="shared" si="28"/>
        <v>Bala Hardin</v>
      </c>
      <c r="E455">
        <v>31</v>
      </c>
      <c r="F455" s="3" t="str">
        <f t="shared" si="29"/>
        <v>30-39</v>
      </c>
      <c r="G455" t="s">
        <v>106</v>
      </c>
      <c r="H455" t="s">
        <v>51</v>
      </c>
      <c r="I455" t="s">
        <v>26</v>
      </c>
      <c r="J455">
        <v>3</v>
      </c>
      <c r="K455" t="s">
        <v>62</v>
      </c>
      <c r="L455">
        <v>30</v>
      </c>
      <c r="M455" t="s">
        <v>91</v>
      </c>
      <c r="N455">
        <v>14500</v>
      </c>
      <c r="O455">
        <v>19</v>
      </c>
      <c r="P455">
        <v>275500</v>
      </c>
      <c r="Q455">
        <v>91.75</v>
      </c>
      <c r="R455" t="s">
        <v>29</v>
      </c>
      <c r="S455" t="s">
        <v>229</v>
      </c>
      <c r="T455">
        <f t="shared" si="30"/>
        <v>275500</v>
      </c>
      <c r="U455" t="str">
        <f t="shared" si="31"/>
        <v>24+ Months</v>
      </c>
    </row>
    <row r="456" spans="1:21">
      <c r="A456" t="s">
        <v>763</v>
      </c>
      <c r="B456" t="s">
        <v>345</v>
      </c>
      <c r="C456" s="2" t="s">
        <v>764</v>
      </c>
      <c r="D456" s="2" t="str">
        <f t="shared" si="28"/>
        <v>Michael Savage</v>
      </c>
      <c r="E456">
        <v>33</v>
      </c>
      <c r="F456" s="3" t="str">
        <f t="shared" si="29"/>
        <v>30-39</v>
      </c>
      <c r="G456" t="s">
        <v>117</v>
      </c>
      <c r="H456" t="s">
        <v>35</v>
      </c>
      <c r="I456" t="s">
        <v>26</v>
      </c>
      <c r="J456">
        <v>5</v>
      </c>
      <c r="K456" t="s">
        <v>68</v>
      </c>
      <c r="L456">
        <v>34</v>
      </c>
      <c r="M456" t="s">
        <v>227</v>
      </c>
      <c r="N456">
        <v>600</v>
      </c>
      <c r="O456">
        <v>5</v>
      </c>
      <c r="P456">
        <v>3000</v>
      </c>
      <c r="Q456">
        <v>146.22999999999999</v>
      </c>
      <c r="R456" t="s">
        <v>46</v>
      </c>
      <c r="S456" t="s">
        <v>47</v>
      </c>
      <c r="T456">
        <f t="shared" si="30"/>
        <v>0</v>
      </c>
      <c r="U456" t="str">
        <f t="shared" si="31"/>
        <v>24+ Months</v>
      </c>
    </row>
    <row r="457" spans="1:21">
      <c r="A457" t="s">
        <v>765</v>
      </c>
      <c r="B457" t="s">
        <v>345</v>
      </c>
      <c r="C457" s="2" t="s">
        <v>764</v>
      </c>
      <c r="D457" s="2" t="str">
        <f t="shared" si="28"/>
        <v>Michael Savage</v>
      </c>
      <c r="E457">
        <v>33</v>
      </c>
      <c r="F457" s="3" t="str">
        <f t="shared" si="29"/>
        <v>30-39</v>
      </c>
      <c r="G457" t="s">
        <v>117</v>
      </c>
      <c r="H457" t="s">
        <v>43</v>
      </c>
      <c r="I457" t="s">
        <v>26</v>
      </c>
      <c r="J457">
        <v>5</v>
      </c>
      <c r="K457" t="s">
        <v>68</v>
      </c>
      <c r="L457">
        <v>34</v>
      </c>
      <c r="M457" t="s">
        <v>45</v>
      </c>
      <c r="N457">
        <v>20000</v>
      </c>
      <c r="O457">
        <v>20</v>
      </c>
      <c r="P457">
        <v>400000</v>
      </c>
      <c r="Q457">
        <v>77.790000000000006</v>
      </c>
      <c r="R457" t="s">
        <v>46</v>
      </c>
      <c r="S457" t="s">
        <v>47</v>
      </c>
      <c r="T457">
        <f t="shared" si="30"/>
        <v>0</v>
      </c>
      <c r="U457" t="str">
        <f t="shared" si="31"/>
        <v>24+ Months</v>
      </c>
    </row>
    <row r="458" spans="1:21">
      <c r="A458" t="s">
        <v>766</v>
      </c>
      <c r="B458" t="s">
        <v>345</v>
      </c>
      <c r="C458" s="2" t="s">
        <v>764</v>
      </c>
      <c r="D458" s="2" t="str">
        <f t="shared" si="28"/>
        <v>Michael Savage</v>
      </c>
      <c r="E458">
        <v>33</v>
      </c>
      <c r="F458" s="3" t="str">
        <f t="shared" si="29"/>
        <v>30-39</v>
      </c>
      <c r="G458" t="s">
        <v>117</v>
      </c>
      <c r="H458" t="s">
        <v>51</v>
      </c>
      <c r="I458" t="s">
        <v>26</v>
      </c>
      <c r="J458">
        <v>5</v>
      </c>
      <c r="K458" t="s">
        <v>68</v>
      </c>
      <c r="L458">
        <v>34</v>
      </c>
      <c r="M458" t="s">
        <v>78</v>
      </c>
      <c r="N458">
        <v>24000</v>
      </c>
      <c r="O458">
        <v>17</v>
      </c>
      <c r="P458">
        <v>408000</v>
      </c>
      <c r="Q458">
        <v>176.6</v>
      </c>
      <c r="R458" t="s">
        <v>46</v>
      </c>
      <c r="S458" t="s">
        <v>47</v>
      </c>
      <c r="T458">
        <f t="shared" si="30"/>
        <v>0</v>
      </c>
      <c r="U458" t="str">
        <f t="shared" si="31"/>
        <v>24+ Months</v>
      </c>
    </row>
    <row r="459" spans="1:21">
      <c r="A459" t="s">
        <v>767</v>
      </c>
      <c r="B459" t="s">
        <v>358</v>
      </c>
      <c r="C459" s="2" t="s">
        <v>768</v>
      </c>
      <c r="D459" s="2" t="str">
        <f t="shared" si="28"/>
        <v>Omamuzo Stephenson</v>
      </c>
      <c r="E459">
        <v>69</v>
      </c>
      <c r="F459" s="3" t="str">
        <f t="shared" si="29"/>
        <v>60-69</v>
      </c>
      <c r="G459" t="s">
        <v>89</v>
      </c>
      <c r="H459" t="s">
        <v>35</v>
      </c>
      <c r="I459" t="s">
        <v>36</v>
      </c>
      <c r="J459">
        <v>3</v>
      </c>
      <c r="K459" t="s">
        <v>62</v>
      </c>
      <c r="L459">
        <v>26</v>
      </c>
      <c r="M459" t="s">
        <v>28</v>
      </c>
      <c r="N459">
        <v>35000</v>
      </c>
      <c r="O459">
        <v>17</v>
      </c>
      <c r="P459">
        <v>595000</v>
      </c>
      <c r="Q459">
        <v>120.7</v>
      </c>
      <c r="R459" t="s">
        <v>46</v>
      </c>
      <c r="S459" t="s">
        <v>47</v>
      </c>
      <c r="T459">
        <f t="shared" si="30"/>
        <v>0</v>
      </c>
      <c r="U459" t="str">
        <f t="shared" si="31"/>
        <v>24+ Months</v>
      </c>
    </row>
    <row r="460" spans="1:21">
      <c r="A460" t="s">
        <v>769</v>
      </c>
      <c r="B460" t="s">
        <v>169</v>
      </c>
      <c r="C460" s="2" t="s">
        <v>770</v>
      </c>
      <c r="D460" s="2" t="str">
        <f t="shared" si="28"/>
        <v>Maryam Moore</v>
      </c>
      <c r="E460">
        <v>56</v>
      </c>
      <c r="F460" s="3" t="str">
        <f t="shared" si="29"/>
        <v>50-59</v>
      </c>
      <c r="G460" t="s">
        <v>102</v>
      </c>
      <c r="H460" t="s">
        <v>25</v>
      </c>
      <c r="I460" t="s">
        <v>26</v>
      </c>
      <c r="J460">
        <v>3</v>
      </c>
      <c r="K460" t="s">
        <v>62</v>
      </c>
      <c r="L460">
        <v>14</v>
      </c>
      <c r="M460" t="s">
        <v>63</v>
      </c>
      <c r="N460">
        <v>9000</v>
      </c>
      <c r="O460">
        <v>12</v>
      </c>
      <c r="P460">
        <v>108000</v>
      </c>
      <c r="Q460">
        <v>142.22</v>
      </c>
      <c r="R460" t="s">
        <v>46</v>
      </c>
      <c r="S460" t="s">
        <v>47</v>
      </c>
      <c r="T460">
        <f t="shared" si="30"/>
        <v>0</v>
      </c>
      <c r="U460" t="str">
        <f t="shared" si="31"/>
        <v>13-24 Months</v>
      </c>
    </row>
    <row r="461" spans="1:21">
      <c r="A461" t="s">
        <v>771</v>
      </c>
      <c r="B461" t="s">
        <v>369</v>
      </c>
      <c r="C461" s="2" t="s">
        <v>772</v>
      </c>
      <c r="D461" s="2" t="str">
        <f t="shared" si="28"/>
        <v>John Patel</v>
      </c>
      <c r="E461">
        <v>69</v>
      </c>
      <c r="F461" s="3" t="str">
        <f t="shared" si="29"/>
        <v>60-69</v>
      </c>
      <c r="G461" t="s">
        <v>111</v>
      </c>
      <c r="H461" t="s">
        <v>35</v>
      </c>
      <c r="I461" t="s">
        <v>36</v>
      </c>
      <c r="J461">
        <v>1</v>
      </c>
      <c r="K461" t="s">
        <v>44</v>
      </c>
      <c r="L461">
        <v>57</v>
      </c>
      <c r="M461" t="s">
        <v>227</v>
      </c>
      <c r="N461">
        <v>600</v>
      </c>
      <c r="O461">
        <v>2</v>
      </c>
      <c r="P461">
        <v>1200</v>
      </c>
      <c r="Q461">
        <v>11.09</v>
      </c>
      <c r="R461" t="s">
        <v>46</v>
      </c>
      <c r="S461" t="s">
        <v>47</v>
      </c>
      <c r="T461">
        <f t="shared" si="30"/>
        <v>0</v>
      </c>
      <c r="U461" t="str">
        <f t="shared" si="31"/>
        <v>24+ Months</v>
      </c>
    </row>
    <row r="462" spans="1:21">
      <c r="A462" t="s">
        <v>773</v>
      </c>
      <c r="B462" t="s">
        <v>84</v>
      </c>
      <c r="C462" s="2" t="s">
        <v>347</v>
      </c>
      <c r="D462" s="2" t="str">
        <f t="shared" si="28"/>
        <v>Bala Holt</v>
      </c>
      <c r="E462">
        <v>50</v>
      </c>
      <c r="F462" s="3" t="str">
        <f t="shared" si="29"/>
        <v>50-59</v>
      </c>
      <c r="G462" t="s">
        <v>34</v>
      </c>
      <c r="H462" t="s">
        <v>43</v>
      </c>
      <c r="I462" t="s">
        <v>36</v>
      </c>
      <c r="J462">
        <v>2</v>
      </c>
      <c r="K462" t="s">
        <v>27</v>
      </c>
      <c r="L462">
        <v>44</v>
      </c>
      <c r="M462" t="s">
        <v>156</v>
      </c>
      <c r="N462">
        <v>25000</v>
      </c>
      <c r="O462">
        <v>4</v>
      </c>
      <c r="P462">
        <v>100000</v>
      </c>
      <c r="Q462">
        <v>162.9</v>
      </c>
      <c r="R462" t="s">
        <v>46</v>
      </c>
      <c r="S462" t="s">
        <v>47</v>
      </c>
      <c r="T462">
        <f t="shared" si="30"/>
        <v>0</v>
      </c>
      <c r="U462" t="str">
        <f t="shared" si="31"/>
        <v>24+ Months</v>
      </c>
    </row>
    <row r="463" spans="1:21">
      <c r="A463" t="s">
        <v>774</v>
      </c>
      <c r="B463" t="s">
        <v>84</v>
      </c>
      <c r="C463" s="2" t="s">
        <v>347</v>
      </c>
      <c r="D463" s="2" t="str">
        <f t="shared" si="28"/>
        <v>Bala Holt</v>
      </c>
      <c r="E463">
        <v>50</v>
      </c>
      <c r="F463" s="3" t="str">
        <f t="shared" si="29"/>
        <v>50-59</v>
      </c>
      <c r="G463" t="s">
        <v>34</v>
      </c>
      <c r="H463" t="s">
        <v>51</v>
      </c>
      <c r="I463" t="s">
        <v>36</v>
      </c>
      <c r="J463">
        <v>2</v>
      </c>
      <c r="K463" t="s">
        <v>27</v>
      </c>
      <c r="L463">
        <v>44</v>
      </c>
      <c r="M463" t="s">
        <v>78</v>
      </c>
      <c r="N463">
        <v>24000</v>
      </c>
      <c r="O463">
        <v>18</v>
      </c>
      <c r="P463">
        <v>432000</v>
      </c>
      <c r="Q463">
        <v>173.67</v>
      </c>
      <c r="R463" t="s">
        <v>46</v>
      </c>
      <c r="S463" t="s">
        <v>47</v>
      </c>
      <c r="T463">
        <f t="shared" si="30"/>
        <v>0</v>
      </c>
      <c r="U463" t="str">
        <f t="shared" si="31"/>
        <v>24+ Months</v>
      </c>
    </row>
    <row r="464" spans="1:21">
      <c r="A464" t="s">
        <v>775</v>
      </c>
      <c r="B464" t="s">
        <v>84</v>
      </c>
      <c r="C464" s="2" t="s">
        <v>347</v>
      </c>
      <c r="D464" s="2" t="str">
        <f t="shared" si="28"/>
        <v>Bala Holt</v>
      </c>
      <c r="E464">
        <v>50</v>
      </c>
      <c r="F464" s="3" t="str">
        <f t="shared" si="29"/>
        <v>50-59</v>
      </c>
      <c r="G464" t="s">
        <v>34</v>
      </c>
      <c r="H464" t="s">
        <v>35</v>
      </c>
      <c r="I464" t="s">
        <v>36</v>
      </c>
      <c r="J464">
        <v>2</v>
      </c>
      <c r="K464" t="s">
        <v>27</v>
      </c>
      <c r="L464">
        <v>44</v>
      </c>
      <c r="M464" t="s">
        <v>93</v>
      </c>
      <c r="N464">
        <v>350</v>
      </c>
      <c r="O464">
        <v>18</v>
      </c>
      <c r="P464">
        <v>6300</v>
      </c>
      <c r="Q464">
        <v>148.61000000000001</v>
      </c>
      <c r="R464" t="s">
        <v>46</v>
      </c>
      <c r="S464" t="s">
        <v>47</v>
      </c>
      <c r="T464">
        <f t="shared" si="30"/>
        <v>0</v>
      </c>
      <c r="U464" t="str">
        <f t="shared" si="31"/>
        <v>24+ Months</v>
      </c>
    </row>
    <row r="465" spans="1:21">
      <c r="A465" t="s">
        <v>776</v>
      </c>
      <c r="B465" t="s">
        <v>358</v>
      </c>
      <c r="C465" s="2" t="s">
        <v>777</v>
      </c>
      <c r="D465" s="2" t="str">
        <f t="shared" si="28"/>
        <v>Omamuzo Roberts</v>
      </c>
      <c r="E465">
        <v>46</v>
      </c>
      <c r="F465" s="3" t="str">
        <f t="shared" si="29"/>
        <v>40-49</v>
      </c>
      <c r="G465" t="s">
        <v>260</v>
      </c>
      <c r="H465" t="s">
        <v>43</v>
      </c>
      <c r="I465" t="s">
        <v>36</v>
      </c>
      <c r="J465">
        <v>4</v>
      </c>
      <c r="K465" t="s">
        <v>155</v>
      </c>
      <c r="L465">
        <v>45</v>
      </c>
      <c r="M465" t="s">
        <v>52</v>
      </c>
      <c r="N465">
        <v>9000</v>
      </c>
      <c r="O465">
        <v>7</v>
      </c>
      <c r="P465">
        <v>63000</v>
      </c>
      <c r="Q465">
        <v>148.86000000000001</v>
      </c>
      <c r="R465" t="s">
        <v>46</v>
      </c>
      <c r="S465" t="s">
        <v>47</v>
      </c>
      <c r="T465">
        <f t="shared" si="30"/>
        <v>0</v>
      </c>
      <c r="U465" t="str">
        <f t="shared" si="31"/>
        <v>24+ Months</v>
      </c>
    </row>
    <row r="466" spans="1:21">
      <c r="A466" t="s">
        <v>778</v>
      </c>
      <c r="B466" t="s">
        <v>358</v>
      </c>
      <c r="C466" s="2" t="s">
        <v>777</v>
      </c>
      <c r="D466" s="2" t="str">
        <f t="shared" si="28"/>
        <v>Omamuzo Roberts</v>
      </c>
      <c r="E466">
        <v>46</v>
      </c>
      <c r="F466" s="3" t="str">
        <f t="shared" si="29"/>
        <v>40-49</v>
      </c>
      <c r="G466" t="s">
        <v>260</v>
      </c>
      <c r="H466" t="s">
        <v>35</v>
      </c>
      <c r="I466" t="s">
        <v>36</v>
      </c>
      <c r="J466">
        <v>4</v>
      </c>
      <c r="K466" t="s">
        <v>155</v>
      </c>
      <c r="L466">
        <v>45</v>
      </c>
      <c r="M466" t="s">
        <v>37</v>
      </c>
      <c r="N466">
        <v>5500</v>
      </c>
      <c r="O466">
        <v>12</v>
      </c>
      <c r="P466">
        <v>66000</v>
      </c>
      <c r="Q466">
        <v>166.08</v>
      </c>
      <c r="R466" t="s">
        <v>46</v>
      </c>
      <c r="S466" t="s">
        <v>47</v>
      </c>
      <c r="T466">
        <f t="shared" si="30"/>
        <v>0</v>
      </c>
      <c r="U466" t="str">
        <f t="shared" si="31"/>
        <v>24+ Months</v>
      </c>
    </row>
    <row r="467" spans="1:21">
      <c r="A467" t="s">
        <v>779</v>
      </c>
      <c r="B467" t="s">
        <v>358</v>
      </c>
      <c r="C467" s="2" t="s">
        <v>777</v>
      </c>
      <c r="D467" s="2" t="str">
        <f t="shared" si="28"/>
        <v>Omamuzo Roberts</v>
      </c>
      <c r="E467">
        <v>46</v>
      </c>
      <c r="F467" s="3" t="str">
        <f t="shared" si="29"/>
        <v>40-49</v>
      </c>
      <c r="G467" t="s">
        <v>260</v>
      </c>
      <c r="H467" t="s">
        <v>51</v>
      </c>
      <c r="I467" t="s">
        <v>36</v>
      </c>
      <c r="J467">
        <v>4</v>
      </c>
      <c r="K467" t="s">
        <v>155</v>
      </c>
      <c r="L467">
        <v>45</v>
      </c>
      <c r="M467" t="s">
        <v>78</v>
      </c>
      <c r="N467">
        <v>24000</v>
      </c>
      <c r="O467">
        <v>20</v>
      </c>
      <c r="P467">
        <v>480000</v>
      </c>
      <c r="Q467">
        <v>109.55</v>
      </c>
      <c r="R467" t="s">
        <v>46</v>
      </c>
      <c r="S467" t="s">
        <v>47</v>
      </c>
      <c r="T467">
        <f t="shared" si="30"/>
        <v>0</v>
      </c>
      <c r="U467" t="str">
        <f t="shared" si="31"/>
        <v>24+ Months</v>
      </c>
    </row>
    <row r="468" spans="1:21">
      <c r="A468" t="s">
        <v>780</v>
      </c>
      <c r="B468" t="s">
        <v>84</v>
      </c>
      <c r="C468" s="2" t="s">
        <v>781</v>
      </c>
      <c r="D468" s="2" t="str">
        <f t="shared" si="28"/>
        <v>Bala Calhoun</v>
      </c>
      <c r="E468">
        <v>40</v>
      </c>
      <c r="F468" s="3" t="str">
        <f t="shared" si="29"/>
        <v>40-49</v>
      </c>
      <c r="G468" t="s">
        <v>136</v>
      </c>
      <c r="H468" t="s">
        <v>51</v>
      </c>
      <c r="I468" t="s">
        <v>36</v>
      </c>
      <c r="J468">
        <v>2</v>
      </c>
      <c r="K468" t="s">
        <v>27</v>
      </c>
      <c r="L468">
        <v>12</v>
      </c>
      <c r="M468" t="s">
        <v>91</v>
      </c>
      <c r="N468">
        <v>14500</v>
      </c>
      <c r="O468">
        <v>9</v>
      </c>
      <c r="P468">
        <v>130500</v>
      </c>
      <c r="Q468">
        <v>56.18</v>
      </c>
      <c r="R468" t="s">
        <v>46</v>
      </c>
      <c r="S468" t="s">
        <v>47</v>
      </c>
      <c r="T468">
        <f t="shared" si="30"/>
        <v>0</v>
      </c>
      <c r="U468" t="str">
        <f t="shared" si="31"/>
        <v>7-12 Months</v>
      </c>
    </row>
    <row r="469" spans="1:21">
      <c r="A469" t="s">
        <v>782</v>
      </c>
      <c r="B469" t="s">
        <v>84</v>
      </c>
      <c r="C469" s="2" t="s">
        <v>781</v>
      </c>
      <c r="D469" s="2" t="str">
        <f t="shared" si="28"/>
        <v>Bala Calhoun</v>
      </c>
      <c r="E469">
        <v>40</v>
      </c>
      <c r="F469" s="3" t="str">
        <f t="shared" si="29"/>
        <v>40-49</v>
      </c>
      <c r="G469" t="s">
        <v>136</v>
      </c>
      <c r="H469" t="s">
        <v>25</v>
      </c>
      <c r="I469" t="s">
        <v>36</v>
      </c>
      <c r="J469">
        <v>2</v>
      </c>
      <c r="K469" t="s">
        <v>27</v>
      </c>
      <c r="L469">
        <v>12</v>
      </c>
      <c r="M469" t="s">
        <v>57</v>
      </c>
      <c r="N469">
        <v>4500</v>
      </c>
      <c r="O469">
        <v>9</v>
      </c>
      <c r="P469">
        <v>40500</v>
      </c>
      <c r="Q469">
        <v>32.61</v>
      </c>
      <c r="R469" t="s">
        <v>46</v>
      </c>
      <c r="S469" t="s">
        <v>47</v>
      </c>
      <c r="T469">
        <f t="shared" si="30"/>
        <v>0</v>
      </c>
      <c r="U469" t="str">
        <f t="shared" si="31"/>
        <v>7-12 Months</v>
      </c>
    </row>
    <row r="470" spans="1:21">
      <c r="A470" t="s">
        <v>783</v>
      </c>
      <c r="B470" t="s">
        <v>84</v>
      </c>
      <c r="C470" s="2" t="s">
        <v>781</v>
      </c>
      <c r="D470" s="2" t="str">
        <f t="shared" si="28"/>
        <v>Bala Calhoun</v>
      </c>
      <c r="E470">
        <v>40</v>
      </c>
      <c r="F470" s="3" t="str">
        <f t="shared" si="29"/>
        <v>40-49</v>
      </c>
      <c r="G470" t="s">
        <v>136</v>
      </c>
      <c r="H470" t="s">
        <v>35</v>
      </c>
      <c r="I470" t="s">
        <v>36</v>
      </c>
      <c r="J470">
        <v>2</v>
      </c>
      <c r="K470" t="s">
        <v>27</v>
      </c>
      <c r="L470">
        <v>12</v>
      </c>
      <c r="M470" t="s">
        <v>137</v>
      </c>
      <c r="N470">
        <v>900</v>
      </c>
      <c r="O470">
        <v>5</v>
      </c>
      <c r="P470">
        <v>4500</v>
      </c>
      <c r="Q470">
        <v>66.45</v>
      </c>
      <c r="R470" t="s">
        <v>46</v>
      </c>
      <c r="S470" t="s">
        <v>47</v>
      </c>
      <c r="T470">
        <f t="shared" si="30"/>
        <v>0</v>
      </c>
      <c r="U470" t="str">
        <f t="shared" si="31"/>
        <v>7-12 Months</v>
      </c>
    </row>
    <row r="471" spans="1:21">
      <c r="A471" t="s">
        <v>784</v>
      </c>
      <c r="B471" t="s">
        <v>404</v>
      </c>
      <c r="C471" s="2" t="s">
        <v>552</v>
      </c>
      <c r="D471" s="2" t="str">
        <f t="shared" si="28"/>
        <v>Bola Miller</v>
      </c>
      <c r="E471">
        <v>35</v>
      </c>
      <c r="F471" s="3" t="str">
        <f t="shared" si="29"/>
        <v>30-39</v>
      </c>
      <c r="G471" t="s">
        <v>353</v>
      </c>
      <c r="H471" t="s">
        <v>43</v>
      </c>
      <c r="I471" t="s">
        <v>26</v>
      </c>
      <c r="J471">
        <v>4</v>
      </c>
      <c r="K471" t="s">
        <v>155</v>
      </c>
      <c r="L471">
        <v>50</v>
      </c>
      <c r="M471" t="s">
        <v>91</v>
      </c>
      <c r="N471">
        <v>14500</v>
      </c>
      <c r="O471">
        <v>17</v>
      </c>
      <c r="P471">
        <v>246500</v>
      </c>
      <c r="Q471">
        <v>191.42</v>
      </c>
      <c r="R471" t="s">
        <v>46</v>
      </c>
      <c r="S471" t="s">
        <v>47</v>
      </c>
      <c r="T471">
        <f t="shared" si="30"/>
        <v>0</v>
      </c>
      <c r="U471" t="str">
        <f t="shared" si="31"/>
        <v>24+ Months</v>
      </c>
    </row>
    <row r="472" spans="1:21">
      <c r="A472" t="s">
        <v>785</v>
      </c>
      <c r="B472" t="s">
        <v>404</v>
      </c>
      <c r="C472" s="2" t="s">
        <v>552</v>
      </c>
      <c r="D472" s="2" t="str">
        <f t="shared" si="28"/>
        <v>Bola Miller</v>
      </c>
      <c r="E472">
        <v>35</v>
      </c>
      <c r="F472" s="3" t="str">
        <f t="shared" si="29"/>
        <v>30-39</v>
      </c>
      <c r="G472" t="s">
        <v>353</v>
      </c>
      <c r="H472" t="s">
        <v>51</v>
      </c>
      <c r="I472" t="s">
        <v>26</v>
      </c>
      <c r="J472">
        <v>4</v>
      </c>
      <c r="K472" t="s">
        <v>155</v>
      </c>
      <c r="L472">
        <v>50</v>
      </c>
      <c r="M472" t="s">
        <v>52</v>
      </c>
      <c r="N472">
        <v>9000</v>
      </c>
      <c r="O472">
        <v>6</v>
      </c>
      <c r="P472">
        <v>54000</v>
      </c>
      <c r="Q472">
        <v>157.36000000000001</v>
      </c>
      <c r="R472" t="s">
        <v>46</v>
      </c>
      <c r="S472" t="s">
        <v>47</v>
      </c>
      <c r="T472">
        <f t="shared" si="30"/>
        <v>0</v>
      </c>
      <c r="U472" t="str">
        <f t="shared" si="31"/>
        <v>24+ Months</v>
      </c>
    </row>
    <row r="473" spans="1:21">
      <c r="A473" t="s">
        <v>786</v>
      </c>
      <c r="B473" t="s">
        <v>404</v>
      </c>
      <c r="C473" s="2" t="s">
        <v>552</v>
      </c>
      <c r="D473" s="2" t="str">
        <f t="shared" si="28"/>
        <v>Bola Miller</v>
      </c>
      <c r="E473">
        <v>35</v>
      </c>
      <c r="F473" s="3" t="str">
        <f t="shared" si="29"/>
        <v>30-39</v>
      </c>
      <c r="G473" t="s">
        <v>353</v>
      </c>
      <c r="H473" t="s">
        <v>25</v>
      </c>
      <c r="I473" t="s">
        <v>26</v>
      </c>
      <c r="J473">
        <v>4</v>
      </c>
      <c r="K473" t="s">
        <v>155</v>
      </c>
      <c r="L473">
        <v>50</v>
      </c>
      <c r="M473" t="s">
        <v>28</v>
      </c>
      <c r="N473">
        <v>35000</v>
      </c>
      <c r="O473">
        <v>13</v>
      </c>
      <c r="P473">
        <v>455000</v>
      </c>
      <c r="Q473">
        <v>108.84</v>
      </c>
      <c r="R473" t="s">
        <v>46</v>
      </c>
      <c r="S473" t="s">
        <v>47</v>
      </c>
      <c r="T473">
        <f t="shared" si="30"/>
        <v>0</v>
      </c>
      <c r="U473" t="str">
        <f t="shared" si="31"/>
        <v>24+ Months</v>
      </c>
    </row>
    <row r="474" spans="1:21">
      <c r="A474" t="s">
        <v>787</v>
      </c>
      <c r="B474" t="s">
        <v>219</v>
      </c>
      <c r="C474" s="2" t="s">
        <v>788</v>
      </c>
      <c r="D474" s="2" t="str">
        <f t="shared" si="28"/>
        <v>Chinedu Elliott</v>
      </c>
      <c r="E474">
        <v>60</v>
      </c>
      <c r="F474" s="3" t="str">
        <f t="shared" si="29"/>
        <v>60-69</v>
      </c>
      <c r="G474" t="s">
        <v>154</v>
      </c>
      <c r="H474" t="s">
        <v>35</v>
      </c>
      <c r="I474" t="s">
        <v>26</v>
      </c>
      <c r="J474">
        <v>3</v>
      </c>
      <c r="K474" t="s">
        <v>62</v>
      </c>
      <c r="L474">
        <v>43</v>
      </c>
      <c r="M474" t="s">
        <v>264</v>
      </c>
      <c r="N474">
        <v>6500</v>
      </c>
      <c r="O474">
        <v>1</v>
      </c>
      <c r="P474">
        <v>6500</v>
      </c>
      <c r="Q474">
        <v>164.83</v>
      </c>
      <c r="R474" t="s">
        <v>46</v>
      </c>
      <c r="S474" t="s">
        <v>47</v>
      </c>
      <c r="T474">
        <f t="shared" si="30"/>
        <v>0</v>
      </c>
      <c r="U474" t="str">
        <f t="shared" si="31"/>
        <v>24+ Months</v>
      </c>
    </row>
    <row r="475" spans="1:21">
      <c r="A475" t="s">
        <v>789</v>
      </c>
      <c r="B475" t="s">
        <v>80</v>
      </c>
      <c r="C475" s="2" t="s">
        <v>790</v>
      </c>
      <c r="D475" s="2" t="str">
        <f t="shared" si="28"/>
        <v>Ifeanyi Austin</v>
      </c>
      <c r="E475">
        <v>60</v>
      </c>
      <c r="F475" s="3" t="str">
        <f t="shared" si="29"/>
        <v>60-69</v>
      </c>
      <c r="G475" t="s">
        <v>272</v>
      </c>
      <c r="H475" t="s">
        <v>35</v>
      </c>
      <c r="I475" t="s">
        <v>26</v>
      </c>
      <c r="J475">
        <v>1</v>
      </c>
      <c r="K475" t="s">
        <v>44</v>
      </c>
      <c r="L475">
        <v>58</v>
      </c>
      <c r="M475" t="s">
        <v>113</v>
      </c>
      <c r="N475">
        <v>7500</v>
      </c>
      <c r="O475">
        <v>10</v>
      </c>
      <c r="P475">
        <v>75000</v>
      </c>
      <c r="Q475">
        <v>51.69</v>
      </c>
      <c r="R475" t="s">
        <v>46</v>
      </c>
      <c r="S475" t="s">
        <v>47</v>
      </c>
      <c r="T475">
        <f t="shared" si="30"/>
        <v>0</v>
      </c>
      <c r="U475" t="str">
        <f t="shared" si="31"/>
        <v>24+ Months</v>
      </c>
    </row>
    <row r="476" spans="1:21">
      <c r="A476" t="s">
        <v>791</v>
      </c>
      <c r="B476" t="s">
        <v>80</v>
      </c>
      <c r="C476" s="2" t="s">
        <v>790</v>
      </c>
      <c r="D476" s="2" t="str">
        <f t="shared" si="28"/>
        <v>Ifeanyi Austin</v>
      </c>
      <c r="E476">
        <v>60</v>
      </c>
      <c r="F476" s="3" t="str">
        <f t="shared" si="29"/>
        <v>60-69</v>
      </c>
      <c r="G476" t="s">
        <v>272</v>
      </c>
      <c r="H476" t="s">
        <v>51</v>
      </c>
      <c r="I476" t="s">
        <v>26</v>
      </c>
      <c r="J476">
        <v>1</v>
      </c>
      <c r="K476" t="s">
        <v>44</v>
      </c>
      <c r="L476">
        <v>58</v>
      </c>
      <c r="M476" t="s">
        <v>52</v>
      </c>
      <c r="N476">
        <v>9000</v>
      </c>
      <c r="O476">
        <v>12</v>
      </c>
      <c r="P476">
        <v>108000</v>
      </c>
      <c r="Q476">
        <v>182.31</v>
      </c>
      <c r="R476" t="s">
        <v>46</v>
      </c>
      <c r="S476" t="s">
        <v>47</v>
      </c>
      <c r="T476">
        <f t="shared" si="30"/>
        <v>0</v>
      </c>
      <c r="U476" t="str">
        <f t="shared" si="31"/>
        <v>24+ Months</v>
      </c>
    </row>
    <row r="477" spans="1:21">
      <c r="A477" t="s">
        <v>792</v>
      </c>
      <c r="B477" t="s">
        <v>345</v>
      </c>
      <c r="C477" s="2" t="s">
        <v>606</v>
      </c>
      <c r="D477" s="2" t="str">
        <f t="shared" si="28"/>
        <v>Michael Jones</v>
      </c>
      <c r="E477">
        <v>73</v>
      </c>
      <c r="F477" s="3" t="str">
        <f t="shared" si="29"/>
        <v>70-79</v>
      </c>
      <c r="G477" t="s">
        <v>117</v>
      </c>
      <c r="H477" t="s">
        <v>25</v>
      </c>
      <c r="I477" t="s">
        <v>26</v>
      </c>
      <c r="J477">
        <v>3</v>
      </c>
      <c r="K477" t="s">
        <v>62</v>
      </c>
      <c r="L477">
        <v>19</v>
      </c>
      <c r="M477" t="s">
        <v>73</v>
      </c>
      <c r="N477">
        <v>16000</v>
      </c>
      <c r="O477">
        <v>7</v>
      </c>
      <c r="P477">
        <v>112000</v>
      </c>
      <c r="Q477">
        <v>125.57</v>
      </c>
      <c r="R477" t="s">
        <v>46</v>
      </c>
      <c r="S477" t="s">
        <v>47</v>
      </c>
      <c r="T477">
        <f t="shared" si="30"/>
        <v>0</v>
      </c>
      <c r="U477" t="str">
        <f t="shared" si="31"/>
        <v>13-24 Months</v>
      </c>
    </row>
    <row r="478" spans="1:21">
      <c r="A478" t="s">
        <v>793</v>
      </c>
      <c r="B478" t="s">
        <v>335</v>
      </c>
      <c r="C478" s="2" t="s">
        <v>794</v>
      </c>
      <c r="D478" s="2" t="str">
        <f t="shared" si="28"/>
        <v>Fatima Foster</v>
      </c>
      <c r="E478">
        <v>70</v>
      </c>
      <c r="F478" s="3" t="str">
        <f t="shared" si="29"/>
        <v>70-79</v>
      </c>
      <c r="G478" t="s">
        <v>128</v>
      </c>
      <c r="H478" t="s">
        <v>51</v>
      </c>
      <c r="I478" t="s">
        <v>26</v>
      </c>
      <c r="J478">
        <v>1</v>
      </c>
      <c r="K478" t="s">
        <v>44</v>
      </c>
      <c r="L478">
        <v>35</v>
      </c>
      <c r="M478" t="s">
        <v>91</v>
      </c>
      <c r="N478">
        <v>14500</v>
      </c>
      <c r="O478">
        <v>2</v>
      </c>
      <c r="P478">
        <v>29000</v>
      </c>
      <c r="Q478">
        <v>143.52000000000001</v>
      </c>
      <c r="R478" t="s">
        <v>46</v>
      </c>
      <c r="S478" t="s">
        <v>47</v>
      </c>
      <c r="T478">
        <f t="shared" si="30"/>
        <v>0</v>
      </c>
      <c r="U478" t="str">
        <f t="shared" si="31"/>
        <v>24+ Months</v>
      </c>
    </row>
    <row r="479" spans="1:21" hidden="1">
      <c r="A479" t="s">
        <v>795</v>
      </c>
      <c r="B479" t="s">
        <v>219</v>
      </c>
      <c r="C479" s="2" t="s">
        <v>796</v>
      </c>
      <c r="D479" s="2" t="str">
        <f t="shared" si="28"/>
        <v>Chinedu Yates</v>
      </c>
      <c r="E479">
        <v>25</v>
      </c>
      <c r="F479" s="3" t="str">
        <f t="shared" si="29"/>
        <v>20-29</v>
      </c>
      <c r="G479" t="s">
        <v>61</v>
      </c>
      <c r="H479" t="s">
        <v>43</v>
      </c>
      <c r="I479" t="s">
        <v>26</v>
      </c>
      <c r="J479">
        <v>5</v>
      </c>
      <c r="K479" t="s">
        <v>68</v>
      </c>
      <c r="L479">
        <v>51</v>
      </c>
      <c r="M479" t="s">
        <v>143</v>
      </c>
      <c r="N479">
        <v>75000</v>
      </c>
      <c r="O479">
        <v>13</v>
      </c>
      <c r="P479">
        <v>975000</v>
      </c>
      <c r="Q479">
        <v>77.91</v>
      </c>
      <c r="R479" t="s">
        <v>29</v>
      </c>
      <c r="S479" t="s">
        <v>38</v>
      </c>
      <c r="T479">
        <f t="shared" si="30"/>
        <v>975000</v>
      </c>
      <c r="U479" t="str">
        <f t="shared" si="31"/>
        <v>24+ Months</v>
      </c>
    </row>
    <row r="480" spans="1:21" hidden="1">
      <c r="A480" t="s">
        <v>797</v>
      </c>
      <c r="B480" t="s">
        <v>75</v>
      </c>
      <c r="C480" s="2" t="s">
        <v>798</v>
      </c>
      <c r="D480" s="2" t="str">
        <f t="shared" si="28"/>
        <v>Boma Peterson</v>
      </c>
      <c r="E480">
        <v>56</v>
      </c>
      <c r="F480" s="3" t="str">
        <f t="shared" si="29"/>
        <v>50-59</v>
      </c>
      <c r="G480" t="s">
        <v>159</v>
      </c>
      <c r="H480" t="s">
        <v>51</v>
      </c>
      <c r="I480" t="s">
        <v>36</v>
      </c>
      <c r="J480">
        <v>5</v>
      </c>
      <c r="K480" t="s">
        <v>68</v>
      </c>
      <c r="L480">
        <v>44</v>
      </c>
      <c r="M480" t="s">
        <v>52</v>
      </c>
      <c r="N480">
        <v>9000</v>
      </c>
      <c r="O480">
        <v>17</v>
      </c>
      <c r="P480">
        <v>153000</v>
      </c>
      <c r="Q480">
        <v>71.86</v>
      </c>
      <c r="R480" t="s">
        <v>29</v>
      </c>
      <c r="S480" t="s">
        <v>393</v>
      </c>
      <c r="T480">
        <f t="shared" si="30"/>
        <v>153000</v>
      </c>
      <c r="U480" t="str">
        <f t="shared" si="31"/>
        <v>24+ Months</v>
      </c>
    </row>
    <row r="481" spans="1:21" hidden="1">
      <c r="A481" t="s">
        <v>799</v>
      </c>
      <c r="B481" t="s">
        <v>75</v>
      </c>
      <c r="C481" s="2" t="s">
        <v>798</v>
      </c>
      <c r="D481" s="2" t="str">
        <f t="shared" si="28"/>
        <v>Boma Peterson</v>
      </c>
      <c r="E481">
        <v>56</v>
      </c>
      <c r="F481" s="3" t="str">
        <f t="shared" si="29"/>
        <v>50-59</v>
      </c>
      <c r="G481" t="s">
        <v>159</v>
      </c>
      <c r="H481" t="s">
        <v>43</v>
      </c>
      <c r="I481" t="s">
        <v>36</v>
      </c>
      <c r="J481">
        <v>5</v>
      </c>
      <c r="K481" t="s">
        <v>68</v>
      </c>
      <c r="L481">
        <v>44</v>
      </c>
      <c r="M481" t="s">
        <v>45</v>
      </c>
      <c r="N481">
        <v>20000</v>
      </c>
      <c r="O481">
        <v>10</v>
      </c>
      <c r="P481">
        <v>200000</v>
      </c>
      <c r="Q481">
        <v>58.32</v>
      </c>
      <c r="R481" t="s">
        <v>29</v>
      </c>
      <c r="S481" t="s">
        <v>393</v>
      </c>
      <c r="T481">
        <f t="shared" si="30"/>
        <v>200000</v>
      </c>
      <c r="U481" t="str">
        <f t="shared" si="31"/>
        <v>24+ Months</v>
      </c>
    </row>
    <row r="482" spans="1:21" hidden="1">
      <c r="A482" t="s">
        <v>800</v>
      </c>
      <c r="B482" t="s">
        <v>75</v>
      </c>
      <c r="C482" s="2" t="s">
        <v>798</v>
      </c>
      <c r="D482" s="2" t="str">
        <f t="shared" si="28"/>
        <v>Boma Peterson</v>
      </c>
      <c r="E482">
        <v>56</v>
      </c>
      <c r="F482" s="3" t="str">
        <f t="shared" si="29"/>
        <v>50-59</v>
      </c>
      <c r="G482" t="s">
        <v>159</v>
      </c>
      <c r="H482" t="s">
        <v>35</v>
      </c>
      <c r="I482" t="s">
        <v>36</v>
      </c>
      <c r="J482">
        <v>5</v>
      </c>
      <c r="K482" t="s">
        <v>68</v>
      </c>
      <c r="L482">
        <v>44</v>
      </c>
      <c r="M482" t="s">
        <v>108</v>
      </c>
      <c r="N482">
        <v>1000</v>
      </c>
      <c r="O482">
        <v>15</v>
      </c>
      <c r="P482">
        <v>15000</v>
      </c>
      <c r="Q482">
        <v>56.66</v>
      </c>
      <c r="R482" t="s">
        <v>29</v>
      </c>
      <c r="S482" t="s">
        <v>393</v>
      </c>
      <c r="T482">
        <f t="shared" si="30"/>
        <v>15000</v>
      </c>
      <c r="U482" t="str">
        <f t="shared" si="31"/>
        <v>24+ Months</v>
      </c>
    </row>
    <row r="483" spans="1:21">
      <c r="A483" t="s">
        <v>801</v>
      </c>
      <c r="B483" t="s">
        <v>358</v>
      </c>
      <c r="C483" s="2" t="s">
        <v>606</v>
      </c>
      <c r="D483" s="2" t="str">
        <f t="shared" si="28"/>
        <v>Omamuzo Jones</v>
      </c>
      <c r="E483">
        <v>66</v>
      </c>
      <c r="F483" s="3" t="str">
        <f t="shared" si="29"/>
        <v>60-69</v>
      </c>
      <c r="G483" t="s">
        <v>159</v>
      </c>
      <c r="H483" t="s">
        <v>43</v>
      </c>
      <c r="I483" t="s">
        <v>36</v>
      </c>
      <c r="J483">
        <v>2</v>
      </c>
      <c r="K483" t="s">
        <v>27</v>
      </c>
      <c r="L483">
        <v>11</v>
      </c>
      <c r="M483" t="s">
        <v>78</v>
      </c>
      <c r="N483">
        <v>24000</v>
      </c>
      <c r="O483">
        <v>12</v>
      </c>
      <c r="P483">
        <v>288000</v>
      </c>
      <c r="Q483">
        <v>135.62</v>
      </c>
      <c r="R483" t="s">
        <v>46</v>
      </c>
      <c r="S483" t="s">
        <v>47</v>
      </c>
      <c r="T483">
        <f t="shared" si="30"/>
        <v>0</v>
      </c>
      <c r="U483" t="str">
        <f t="shared" si="31"/>
        <v>7-12 Months</v>
      </c>
    </row>
    <row r="484" spans="1:21">
      <c r="A484" t="s">
        <v>802</v>
      </c>
      <c r="B484" t="s">
        <v>358</v>
      </c>
      <c r="C484" s="2" t="s">
        <v>606</v>
      </c>
      <c r="D484" s="2" t="str">
        <f t="shared" si="28"/>
        <v>Omamuzo Jones</v>
      </c>
      <c r="E484">
        <v>66</v>
      </c>
      <c r="F484" s="3" t="str">
        <f t="shared" si="29"/>
        <v>60-69</v>
      </c>
      <c r="G484" t="s">
        <v>159</v>
      </c>
      <c r="H484" t="s">
        <v>35</v>
      </c>
      <c r="I484" t="s">
        <v>36</v>
      </c>
      <c r="J484">
        <v>2</v>
      </c>
      <c r="K484" t="s">
        <v>27</v>
      </c>
      <c r="L484">
        <v>11</v>
      </c>
      <c r="M484" t="s">
        <v>137</v>
      </c>
      <c r="N484">
        <v>900</v>
      </c>
      <c r="O484">
        <v>18</v>
      </c>
      <c r="P484">
        <v>16200</v>
      </c>
      <c r="Q484">
        <v>110.93</v>
      </c>
      <c r="R484" t="s">
        <v>46</v>
      </c>
      <c r="S484" t="s">
        <v>47</v>
      </c>
      <c r="T484">
        <f t="shared" si="30"/>
        <v>0</v>
      </c>
      <c r="U484" t="str">
        <f t="shared" si="31"/>
        <v>7-12 Months</v>
      </c>
    </row>
    <row r="485" spans="1:21">
      <c r="A485" t="s">
        <v>803</v>
      </c>
      <c r="B485" t="s">
        <v>358</v>
      </c>
      <c r="C485" s="2" t="s">
        <v>606</v>
      </c>
      <c r="D485" s="2" t="str">
        <f t="shared" si="28"/>
        <v>Omamuzo Jones</v>
      </c>
      <c r="E485">
        <v>66</v>
      </c>
      <c r="F485" s="3" t="str">
        <f t="shared" si="29"/>
        <v>60-69</v>
      </c>
      <c r="G485" t="s">
        <v>159</v>
      </c>
      <c r="H485" t="s">
        <v>51</v>
      </c>
      <c r="I485" t="s">
        <v>36</v>
      </c>
      <c r="J485">
        <v>2</v>
      </c>
      <c r="K485" t="s">
        <v>27</v>
      </c>
      <c r="L485">
        <v>11</v>
      </c>
      <c r="M485" t="s">
        <v>45</v>
      </c>
      <c r="N485">
        <v>20000</v>
      </c>
      <c r="O485">
        <v>1</v>
      </c>
      <c r="P485">
        <v>20000</v>
      </c>
      <c r="Q485">
        <v>25.09</v>
      </c>
      <c r="R485" t="s">
        <v>46</v>
      </c>
      <c r="S485" t="s">
        <v>47</v>
      </c>
      <c r="T485">
        <f t="shared" si="30"/>
        <v>0</v>
      </c>
      <c r="U485" t="str">
        <f t="shared" si="31"/>
        <v>7-12 Months</v>
      </c>
    </row>
    <row r="486" spans="1:21">
      <c r="A486" t="s">
        <v>804</v>
      </c>
      <c r="B486" t="s">
        <v>65</v>
      </c>
      <c r="C486" s="2" t="s">
        <v>805</v>
      </c>
      <c r="D486" s="2" t="str">
        <f t="shared" si="28"/>
        <v>Tamuno Lawrence</v>
      </c>
      <c r="E486">
        <v>26</v>
      </c>
      <c r="F486" s="3" t="str">
        <f t="shared" si="29"/>
        <v>20-29</v>
      </c>
      <c r="G486" t="s">
        <v>206</v>
      </c>
      <c r="H486" t="s">
        <v>25</v>
      </c>
      <c r="I486" t="s">
        <v>26</v>
      </c>
      <c r="J486">
        <v>2</v>
      </c>
      <c r="K486" t="s">
        <v>27</v>
      </c>
      <c r="L486">
        <v>48</v>
      </c>
      <c r="M486" t="s">
        <v>57</v>
      </c>
      <c r="N486">
        <v>4500</v>
      </c>
      <c r="O486">
        <v>9</v>
      </c>
      <c r="P486">
        <v>40500</v>
      </c>
      <c r="Q486">
        <v>123.57</v>
      </c>
      <c r="R486" t="s">
        <v>46</v>
      </c>
      <c r="S486" t="s">
        <v>47</v>
      </c>
      <c r="T486">
        <f t="shared" si="30"/>
        <v>0</v>
      </c>
      <c r="U486" t="str">
        <f t="shared" si="31"/>
        <v>24+ Months</v>
      </c>
    </row>
    <row r="487" spans="1:21">
      <c r="A487" t="s">
        <v>806</v>
      </c>
      <c r="B487" t="s">
        <v>65</v>
      </c>
      <c r="C487" s="2" t="s">
        <v>805</v>
      </c>
      <c r="D487" s="2" t="str">
        <f t="shared" si="28"/>
        <v>Tamuno Lawrence</v>
      </c>
      <c r="E487">
        <v>26</v>
      </c>
      <c r="F487" s="3" t="str">
        <f t="shared" si="29"/>
        <v>20-29</v>
      </c>
      <c r="G487" t="s">
        <v>206</v>
      </c>
      <c r="H487" t="s">
        <v>51</v>
      </c>
      <c r="I487" t="s">
        <v>26</v>
      </c>
      <c r="J487">
        <v>2</v>
      </c>
      <c r="K487" t="s">
        <v>27</v>
      </c>
      <c r="L487">
        <v>48</v>
      </c>
      <c r="M487" t="s">
        <v>45</v>
      </c>
      <c r="N487">
        <v>20000</v>
      </c>
      <c r="O487">
        <v>19</v>
      </c>
      <c r="P487">
        <v>380000</v>
      </c>
      <c r="Q487">
        <v>23.37</v>
      </c>
      <c r="R487" t="s">
        <v>46</v>
      </c>
      <c r="S487" t="s">
        <v>47</v>
      </c>
      <c r="T487">
        <f t="shared" si="30"/>
        <v>0</v>
      </c>
      <c r="U487" t="str">
        <f t="shared" si="31"/>
        <v>24+ Months</v>
      </c>
    </row>
    <row r="488" spans="1:21">
      <c r="A488" t="s">
        <v>807</v>
      </c>
      <c r="B488" t="s">
        <v>65</v>
      </c>
      <c r="C488" s="2" t="s">
        <v>805</v>
      </c>
      <c r="D488" s="2" t="str">
        <f t="shared" si="28"/>
        <v>Tamuno Lawrence</v>
      </c>
      <c r="E488">
        <v>26</v>
      </c>
      <c r="F488" s="3" t="str">
        <f t="shared" si="29"/>
        <v>20-29</v>
      </c>
      <c r="G488" t="s">
        <v>206</v>
      </c>
      <c r="H488" t="s">
        <v>43</v>
      </c>
      <c r="I488" t="s">
        <v>26</v>
      </c>
      <c r="J488">
        <v>2</v>
      </c>
      <c r="K488" t="s">
        <v>27</v>
      </c>
      <c r="L488">
        <v>48</v>
      </c>
      <c r="M488" t="s">
        <v>52</v>
      </c>
      <c r="N488">
        <v>9000</v>
      </c>
      <c r="O488">
        <v>18</v>
      </c>
      <c r="P488">
        <v>162000</v>
      </c>
      <c r="Q488">
        <v>170.35</v>
      </c>
      <c r="R488" t="s">
        <v>46</v>
      </c>
      <c r="S488" t="s">
        <v>47</v>
      </c>
      <c r="T488">
        <f t="shared" si="30"/>
        <v>0</v>
      </c>
      <c r="U488" t="str">
        <f t="shared" si="31"/>
        <v>24+ Months</v>
      </c>
    </row>
    <row r="489" spans="1:21">
      <c r="A489" t="s">
        <v>808</v>
      </c>
      <c r="B489" t="s">
        <v>214</v>
      </c>
      <c r="C489" s="2" t="s">
        <v>809</v>
      </c>
      <c r="D489" s="2" t="str">
        <f t="shared" si="28"/>
        <v>Zina Nicholson</v>
      </c>
      <c r="E489">
        <v>25</v>
      </c>
      <c r="F489" s="3" t="str">
        <f t="shared" si="29"/>
        <v>20-29</v>
      </c>
      <c r="G489" t="s">
        <v>136</v>
      </c>
      <c r="H489" t="s">
        <v>43</v>
      </c>
      <c r="I489" t="s">
        <v>26</v>
      </c>
      <c r="J489">
        <v>2</v>
      </c>
      <c r="K489" t="s">
        <v>27</v>
      </c>
      <c r="L489">
        <v>17</v>
      </c>
      <c r="M489" t="s">
        <v>82</v>
      </c>
      <c r="N489">
        <v>30000</v>
      </c>
      <c r="O489">
        <v>8</v>
      </c>
      <c r="P489">
        <v>240000</v>
      </c>
      <c r="Q489">
        <v>134.41999999999999</v>
      </c>
      <c r="R489" t="s">
        <v>46</v>
      </c>
      <c r="S489" t="s">
        <v>47</v>
      </c>
      <c r="T489">
        <f t="shared" si="30"/>
        <v>0</v>
      </c>
      <c r="U489" t="str">
        <f t="shared" si="31"/>
        <v>13-24 Months</v>
      </c>
    </row>
    <row r="490" spans="1:21">
      <c r="A490" t="s">
        <v>810</v>
      </c>
      <c r="B490" t="s">
        <v>214</v>
      </c>
      <c r="C490" s="2" t="s">
        <v>809</v>
      </c>
      <c r="D490" s="2" t="str">
        <f t="shared" si="28"/>
        <v>Zina Nicholson</v>
      </c>
      <c r="E490">
        <v>25</v>
      </c>
      <c r="F490" s="3" t="str">
        <f t="shared" si="29"/>
        <v>20-29</v>
      </c>
      <c r="G490" t="s">
        <v>136</v>
      </c>
      <c r="H490" t="s">
        <v>25</v>
      </c>
      <c r="I490" t="s">
        <v>26</v>
      </c>
      <c r="J490">
        <v>2</v>
      </c>
      <c r="K490" t="s">
        <v>27</v>
      </c>
      <c r="L490">
        <v>17</v>
      </c>
      <c r="M490" t="s">
        <v>73</v>
      </c>
      <c r="N490">
        <v>16000</v>
      </c>
      <c r="O490">
        <v>3</v>
      </c>
      <c r="P490">
        <v>48000</v>
      </c>
      <c r="Q490">
        <v>57.38</v>
      </c>
      <c r="R490" t="s">
        <v>46</v>
      </c>
      <c r="S490" t="s">
        <v>47</v>
      </c>
      <c r="T490">
        <f t="shared" si="30"/>
        <v>0</v>
      </c>
      <c r="U490" t="str">
        <f t="shared" si="31"/>
        <v>13-24 Months</v>
      </c>
    </row>
    <row r="491" spans="1:21" hidden="1">
      <c r="A491" t="s">
        <v>811</v>
      </c>
      <c r="B491" t="s">
        <v>84</v>
      </c>
      <c r="C491" s="2" t="s">
        <v>812</v>
      </c>
      <c r="D491" s="2" t="str">
        <f t="shared" si="28"/>
        <v>Bala Graham</v>
      </c>
      <c r="E491">
        <v>56</v>
      </c>
      <c r="F491" s="3" t="str">
        <f t="shared" si="29"/>
        <v>50-59</v>
      </c>
      <c r="G491" t="s">
        <v>117</v>
      </c>
      <c r="H491" t="s">
        <v>43</v>
      </c>
      <c r="I491" t="s">
        <v>36</v>
      </c>
      <c r="J491">
        <v>5</v>
      </c>
      <c r="K491" t="s">
        <v>68</v>
      </c>
      <c r="L491">
        <v>22</v>
      </c>
      <c r="M491" t="s">
        <v>82</v>
      </c>
      <c r="N491">
        <v>30000</v>
      </c>
      <c r="O491">
        <v>8</v>
      </c>
      <c r="P491">
        <v>240000</v>
      </c>
      <c r="Q491">
        <v>1.46</v>
      </c>
      <c r="R491" t="s">
        <v>29</v>
      </c>
      <c r="S491" t="s">
        <v>30</v>
      </c>
      <c r="T491">
        <f t="shared" si="30"/>
        <v>240000</v>
      </c>
      <c r="U491" t="str">
        <f t="shared" si="31"/>
        <v>13-24 Months</v>
      </c>
    </row>
    <row r="492" spans="1:21" hidden="1">
      <c r="A492" t="s">
        <v>813</v>
      </c>
      <c r="B492" t="s">
        <v>84</v>
      </c>
      <c r="C492" s="2" t="s">
        <v>812</v>
      </c>
      <c r="D492" s="2" t="str">
        <f t="shared" si="28"/>
        <v>Bala Graham</v>
      </c>
      <c r="E492">
        <v>56</v>
      </c>
      <c r="F492" s="3" t="str">
        <f t="shared" si="29"/>
        <v>50-59</v>
      </c>
      <c r="G492" t="s">
        <v>117</v>
      </c>
      <c r="H492" t="s">
        <v>35</v>
      </c>
      <c r="I492" t="s">
        <v>36</v>
      </c>
      <c r="J492">
        <v>5</v>
      </c>
      <c r="K492" t="s">
        <v>68</v>
      </c>
      <c r="L492">
        <v>22</v>
      </c>
      <c r="M492" t="s">
        <v>57</v>
      </c>
      <c r="N492">
        <v>4500</v>
      </c>
      <c r="O492">
        <v>14</v>
      </c>
      <c r="P492">
        <v>63000</v>
      </c>
      <c r="Q492">
        <v>142.58000000000001</v>
      </c>
      <c r="R492" t="s">
        <v>29</v>
      </c>
      <c r="S492" t="s">
        <v>30</v>
      </c>
      <c r="T492">
        <f t="shared" si="30"/>
        <v>63000</v>
      </c>
      <c r="U492" t="str">
        <f t="shared" si="31"/>
        <v>13-24 Months</v>
      </c>
    </row>
    <row r="493" spans="1:21">
      <c r="A493" t="s">
        <v>814</v>
      </c>
      <c r="B493" t="s">
        <v>32</v>
      </c>
      <c r="C493" s="2" t="s">
        <v>815</v>
      </c>
      <c r="D493" s="2" t="str">
        <f t="shared" si="28"/>
        <v>Zainab Blackwell</v>
      </c>
      <c r="E493">
        <v>62</v>
      </c>
      <c r="F493" s="3" t="str">
        <f t="shared" si="29"/>
        <v>60-69</v>
      </c>
      <c r="G493" t="s">
        <v>194</v>
      </c>
      <c r="H493" t="s">
        <v>35</v>
      </c>
      <c r="I493" t="s">
        <v>36</v>
      </c>
      <c r="J493">
        <v>4</v>
      </c>
      <c r="K493" t="s">
        <v>155</v>
      </c>
      <c r="L493">
        <v>57</v>
      </c>
      <c r="M493" t="s">
        <v>108</v>
      </c>
      <c r="N493">
        <v>1000</v>
      </c>
      <c r="O493">
        <v>20</v>
      </c>
      <c r="P493">
        <v>20000</v>
      </c>
      <c r="Q493">
        <v>35.57</v>
      </c>
      <c r="R493" t="s">
        <v>46</v>
      </c>
      <c r="S493" t="s">
        <v>47</v>
      </c>
      <c r="T493">
        <f t="shared" si="30"/>
        <v>0</v>
      </c>
      <c r="U493" t="str">
        <f t="shared" si="31"/>
        <v>24+ Months</v>
      </c>
    </row>
    <row r="494" spans="1:21">
      <c r="A494" t="s">
        <v>816</v>
      </c>
      <c r="B494" t="s">
        <v>32</v>
      </c>
      <c r="C494" s="2" t="s">
        <v>815</v>
      </c>
      <c r="D494" s="2" t="str">
        <f t="shared" si="28"/>
        <v>Zainab Blackwell</v>
      </c>
      <c r="E494">
        <v>62</v>
      </c>
      <c r="F494" s="3" t="str">
        <f t="shared" si="29"/>
        <v>60-69</v>
      </c>
      <c r="G494" t="s">
        <v>194</v>
      </c>
      <c r="H494" t="s">
        <v>43</v>
      </c>
      <c r="I494" t="s">
        <v>36</v>
      </c>
      <c r="J494">
        <v>4</v>
      </c>
      <c r="K494" t="s">
        <v>155</v>
      </c>
      <c r="L494">
        <v>57</v>
      </c>
      <c r="M494" t="s">
        <v>45</v>
      </c>
      <c r="N494">
        <v>20000</v>
      </c>
      <c r="O494">
        <v>5</v>
      </c>
      <c r="P494">
        <v>100000</v>
      </c>
      <c r="Q494">
        <v>168.44</v>
      </c>
      <c r="R494" t="s">
        <v>46</v>
      </c>
      <c r="S494" t="s">
        <v>47</v>
      </c>
      <c r="T494">
        <f t="shared" si="30"/>
        <v>0</v>
      </c>
      <c r="U494" t="str">
        <f t="shared" si="31"/>
        <v>24+ Months</v>
      </c>
    </row>
    <row r="495" spans="1:21">
      <c r="A495" t="s">
        <v>817</v>
      </c>
      <c r="B495" t="s">
        <v>131</v>
      </c>
      <c r="C495" s="2" t="s">
        <v>818</v>
      </c>
      <c r="D495" s="2" t="str">
        <f t="shared" si="28"/>
        <v>David Rodriguez</v>
      </c>
      <c r="E495">
        <v>41</v>
      </c>
      <c r="F495" s="3" t="str">
        <f t="shared" si="29"/>
        <v>40-49</v>
      </c>
      <c r="G495" t="s">
        <v>197</v>
      </c>
      <c r="H495" t="s">
        <v>51</v>
      </c>
      <c r="I495" t="s">
        <v>26</v>
      </c>
      <c r="J495">
        <v>1</v>
      </c>
      <c r="K495" t="s">
        <v>44</v>
      </c>
      <c r="L495">
        <v>47</v>
      </c>
      <c r="M495" t="s">
        <v>78</v>
      </c>
      <c r="N495">
        <v>24000</v>
      </c>
      <c r="O495">
        <v>2</v>
      </c>
      <c r="P495">
        <v>48000</v>
      </c>
      <c r="Q495">
        <v>42.95</v>
      </c>
      <c r="R495" t="s">
        <v>46</v>
      </c>
      <c r="S495" t="s">
        <v>47</v>
      </c>
      <c r="T495">
        <f t="shared" si="30"/>
        <v>0</v>
      </c>
      <c r="U495" t="str">
        <f t="shared" si="31"/>
        <v>24+ Months</v>
      </c>
    </row>
    <row r="496" spans="1:21">
      <c r="A496" t="s">
        <v>819</v>
      </c>
      <c r="B496" t="s">
        <v>131</v>
      </c>
      <c r="C496" s="2" t="s">
        <v>818</v>
      </c>
      <c r="D496" s="2" t="str">
        <f t="shared" si="28"/>
        <v>David Rodriguez</v>
      </c>
      <c r="E496">
        <v>41</v>
      </c>
      <c r="F496" s="3" t="str">
        <f t="shared" si="29"/>
        <v>40-49</v>
      </c>
      <c r="G496" t="s">
        <v>197</v>
      </c>
      <c r="H496" t="s">
        <v>43</v>
      </c>
      <c r="I496" t="s">
        <v>26</v>
      </c>
      <c r="J496">
        <v>1</v>
      </c>
      <c r="K496" t="s">
        <v>44</v>
      </c>
      <c r="L496">
        <v>47</v>
      </c>
      <c r="M496" t="s">
        <v>78</v>
      </c>
      <c r="N496">
        <v>24000</v>
      </c>
      <c r="O496">
        <v>18</v>
      </c>
      <c r="P496">
        <v>432000</v>
      </c>
      <c r="Q496">
        <v>108.92</v>
      </c>
      <c r="R496" t="s">
        <v>46</v>
      </c>
      <c r="S496" t="s">
        <v>47</v>
      </c>
      <c r="T496">
        <f t="shared" si="30"/>
        <v>0</v>
      </c>
      <c r="U496" t="str">
        <f t="shared" si="31"/>
        <v>24+ Months</v>
      </c>
    </row>
    <row r="497" spans="1:21">
      <c r="A497" t="s">
        <v>820</v>
      </c>
      <c r="B497" t="s">
        <v>131</v>
      </c>
      <c r="C497" s="2" t="s">
        <v>818</v>
      </c>
      <c r="D497" s="2" t="str">
        <f t="shared" si="28"/>
        <v>David Rodriguez</v>
      </c>
      <c r="E497">
        <v>41</v>
      </c>
      <c r="F497" s="3" t="str">
        <f t="shared" si="29"/>
        <v>40-49</v>
      </c>
      <c r="G497" t="s">
        <v>197</v>
      </c>
      <c r="H497" t="s">
        <v>25</v>
      </c>
      <c r="I497" t="s">
        <v>26</v>
      </c>
      <c r="J497">
        <v>1</v>
      </c>
      <c r="K497" t="s">
        <v>44</v>
      </c>
      <c r="L497">
        <v>47</v>
      </c>
      <c r="M497" t="s">
        <v>28</v>
      </c>
      <c r="N497">
        <v>35000</v>
      </c>
      <c r="O497">
        <v>5</v>
      </c>
      <c r="P497">
        <v>175000</v>
      </c>
      <c r="Q497">
        <v>130.94999999999999</v>
      </c>
      <c r="R497" t="s">
        <v>46</v>
      </c>
      <c r="S497" t="s">
        <v>47</v>
      </c>
      <c r="T497">
        <f t="shared" si="30"/>
        <v>0</v>
      </c>
      <c r="U497" t="str">
        <f t="shared" si="31"/>
        <v>24+ Months</v>
      </c>
    </row>
    <row r="498" spans="1:21">
      <c r="A498" t="s">
        <v>821</v>
      </c>
      <c r="B498" t="s">
        <v>54</v>
      </c>
      <c r="C498" s="2" t="s">
        <v>552</v>
      </c>
      <c r="D498" s="2" t="str">
        <f t="shared" si="28"/>
        <v>Ejiro Miller</v>
      </c>
      <c r="E498">
        <v>66</v>
      </c>
      <c r="F498" s="3" t="str">
        <f t="shared" si="29"/>
        <v>60-69</v>
      </c>
      <c r="G498" t="s">
        <v>154</v>
      </c>
      <c r="H498" t="s">
        <v>43</v>
      </c>
      <c r="I498" t="s">
        <v>36</v>
      </c>
      <c r="J498">
        <v>5</v>
      </c>
      <c r="K498" t="s">
        <v>68</v>
      </c>
      <c r="L498">
        <v>9</v>
      </c>
      <c r="M498" t="s">
        <v>52</v>
      </c>
      <c r="N498">
        <v>9000</v>
      </c>
      <c r="O498">
        <v>20</v>
      </c>
      <c r="P498">
        <v>180000</v>
      </c>
      <c r="Q498">
        <v>132.69999999999999</v>
      </c>
      <c r="R498" t="s">
        <v>46</v>
      </c>
      <c r="S498" t="s">
        <v>47</v>
      </c>
      <c r="T498">
        <f t="shared" si="30"/>
        <v>0</v>
      </c>
      <c r="U498" t="str">
        <f t="shared" si="31"/>
        <v>7-12 Months</v>
      </c>
    </row>
    <row r="499" spans="1:21">
      <c r="A499" t="s">
        <v>822</v>
      </c>
      <c r="B499" t="s">
        <v>54</v>
      </c>
      <c r="C499" s="2" t="s">
        <v>552</v>
      </c>
      <c r="D499" s="2" t="str">
        <f t="shared" si="28"/>
        <v>Ejiro Miller</v>
      </c>
      <c r="E499">
        <v>66</v>
      </c>
      <c r="F499" s="3" t="str">
        <f t="shared" si="29"/>
        <v>60-69</v>
      </c>
      <c r="G499" t="s">
        <v>154</v>
      </c>
      <c r="H499" t="s">
        <v>35</v>
      </c>
      <c r="I499" t="s">
        <v>36</v>
      </c>
      <c r="J499">
        <v>5</v>
      </c>
      <c r="K499" t="s">
        <v>68</v>
      </c>
      <c r="L499">
        <v>9</v>
      </c>
      <c r="M499" t="s">
        <v>227</v>
      </c>
      <c r="N499">
        <v>600</v>
      </c>
      <c r="O499">
        <v>5</v>
      </c>
      <c r="P499">
        <v>3000</v>
      </c>
      <c r="Q499">
        <v>151.56</v>
      </c>
      <c r="R499" t="s">
        <v>46</v>
      </c>
      <c r="S499" t="s">
        <v>47</v>
      </c>
      <c r="T499">
        <f t="shared" si="30"/>
        <v>0</v>
      </c>
      <c r="U499" t="str">
        <f t="shared" si="31"/>
        <v>7-12 Months</v>
      </c>
    </row>
    <row r="500" spans="1:21" hidden="1">
      <c r="A500" t="s">
        <v>823</v>
      </c>
      <c r="B500" t="s">
        <v>182</v>
      </c>
      <c r="C500" s="2" t="s">
        <v>268</v>
      </c>
      <c r="D500" s="2" t="str">
        <f t="shared" si="28"/>
        <v>Alabo Smith</v>
      </c>
      <c r="E500">
        <v>36</v>
      </c>
      <c r="F500" s="3" t="str">
        <f t="shared" si="29"/>
        <v>30-39</v>
      </c>
      <c r="G500" t="s">
        <v>179</v>
      </c>
      <c r="H500" t="s">
        <v>25</v>
      </c>
      <c r="I500" t="s">
        <v>26</v>
      </c>
      <c r="J500">
        <v>3</v>
      </c>
      <c r="K500" t="s">
        <v>62</v>
      </c>
      <c r="L500">
        <v>48</v>
      </c>
      <c r="M500" t="s">
        <v>63</v>
      </c>
      <c r="N500">
        <v>9000</v>
      </c>
      <c r="O500">
        <v>2</v>
      </c>
      <c r="P500">
        <v>18000</v>
      </c>
      <c r="Q500">
        <v>74.2</v>
      </c>
      <c r="R500" t="s">
        <v>29</v>
      </c>
      <c r="S500" t="s">
        <v>38</v>
      </c>
      <c r="T500">
        <f t="shared" si="30"/>
        <v>18000</v>
      </c>
      <c r="U500" t="str">
        <f t="shared" si="31"/>
        <v>24+ Months</v>
      </c>
    </row>
    <row r="501" spans="1:21" hidden="1">
      <c r="A501" t="s">
        <v>824</v>
      </c>
      <c r="B501" t="s">
        <v>182</v>
      </c>
      <c r="C501" s="2" t="s">
        <v>268</v>
      </c>
      <c r="D501" s="2" t="str">
        <f t="shared" si="28"/>
        <v>Alabo Smith</v>
      </c>
      <c r="E501">
        <v>36</v>
      </c>
      <c r="F501" s="3" t="str">
        <f t="shared" si="29"/>
        <v>30-39</v>
      </c>
      <c r="G501" t="s">
        <v>179</v>
      </c>
      <c r="H501" t="s">
        <v>51</v>
      </c>
      <c r="I501" t="s">
        <v>26</v>
      </c>
      <c r="J501">
        <v>3</v>
      </c>
      <c r="K501" t="s">
        <v>62</v>
      </c>
      <c r="L501">
        <v>48</v>
      </c>
      <c r="M501" t="s">
        <v>45</v>
      </c>
      <c r="N501">
        <v>20000</v>
      </c>
      <c r="O501">
        <v>12</v>
      </c>
      <c r="P501">
        <v>240000</v>
      </c>
      <c r="Q501">
        <v>103.82</v>
      </c>
      <c r="R501" t="s">
        <v>29</v>
      </c>
      <c r="S501" t="s">
        <v>38</v>
      </c>
      <c r="T501">
        <f t="shared" si="30"/>
        <v>240000</v>
      </c>
      <c r="U501" t="str">
        <f t="shared" si="31"/>
        <v>24+ Months</v>
      </c>
    </row>
    <row r="502" spans="1:21">
      <c r="A502" t="s">
        <v>825</v>
      </c>
      <c r="B502" t="s">
        <v>358</v>
      </c>
      <c r="C502" s="2" t="s">
        <v>268</v>
      </c>
      <c r="D502" s="2" t="str">
        <f t="shared" si="28"/>
        <v>Omamuzo Smith</v>
      </c>
      <c r="E502">
        <v>76</v>
      </c>
      <c r="F502" s="3" t="str">
        <f t="shared" si="29"/>
        <v>70-79</v>
      </c>
      <c r="G502" t="s">
        <v>42</v>
      </c>
      <c r="H502" t="s">
        <v>43</v>
      </c>
      <c r="I502" t="s">
        <v>26</v>
      </c>
      <c r="J502">
        <v>1</v>
      </c>
      <c r="K502" t="s">
        <v>44</v>
      </c>
      <c r="L502">
        <v>3</v>
      </c>
      <c r="M502" t="s">
        <v>82</v>
      </c>
      <c r="N502">
        <v>30000</v>
      </c>
      <c r="O502">
        <v>13</v>
      </c>
      <c r="P502">
        <v>390000</v>
      </c>
      <c r="Q502">
        <v>75.64</v>
      </c>
      <c r="R502" t="s">
        <v>46</v>
      </c>
      <c r="S502" t="s">
        <v>47</v>
      </c>
      <c r="T502">
        <f t="shared" si="30"/>
        <v>0</v>
      </c>
      <c r="U502" t="str">
        <f t="shared" si="31"/>
        <v>0-6 Months</v>
      </c>
    </row>
    <row r="503" spans="1:21">
      <c r="A503" t="s">
        <v>826</v>
      </c>
      <c r="B503" t="s">
        <v>358</v>
      </c>
      <c r="C503" s="2" t="s">
        <v>268</v>
      </c>
      <c r="D503" s="2" t="str">
        <f t="shared" si="28"/>
        <v>Omamuzo Smith</v>
      </c>
      <c r="E503">
        <v>76</v>
      </c>
      <c r="F503" s="3" t="str">
        <f t="shared" si="29"/>
        <v>70-79</v>
      </c>
      <c r="G503" t="s">
        <v>42</v>
      </c>
      <c r="H503" t="s">
        <v>35</v>
      </c>
      <c r="I503" t="s">
        <v>26</v>
      </c>
      <c r="J503">
        <v>1</v>
      </c>
      <c r="K503" t="s">
        <v>44</v>
      </c>
      <c r="L503">
        <v>3</v>
      </c>
      <c r="M503" t="s">
        <v>69</v>
      </c>
      <c r="N503">
        <v>3500</v>
      </c>
      <c r="O503">
        <v>3</v>
      </c>
      <c r="P503">
        <v>10500</v>
      </c>
      <c r="Q503">
        <v>117.74</v>
      </c>
      <c r="R503" t="s">
        <v>46</v>
      </c>
      <c r="S503" t="s">
        <v>47</v>
      </c>
      <c r="T503">
        <f t="shared" si="30"/>
        <v>0</v>
      </c>
      <c r="U503" t="str">
        <f t="shared" si="31"/>
        <v>0-6 Months</v>
      </c>
    </row>
    <row r="504" spans="1:21">
      <c r="A504" t="s">
        <v>827</v>
      </c>
      <c r="B504" t="s">
        <v>358</v>
      </c>
      <c r="C504" s="2" t="s">
        <v>268</v>
      </c>
      <c r="D504" s="2" t="str">
        <f t="shared" si="28"/>
        <v>Omamuzo Smith</v>
      </c>
      <c r="E504">
        <v>76</v>
      </c>
      <c r="F504" s="3" t="str">
        <f t="shared" si="29"/>
        <v>70-79</v>
      </c>
      <c r="G504" t="s">
        <v>42</v>
      </c>
      <c r="H504" t="s">
        <v>25</v>
      </c>
      <c r="I504" t="s">
        <v>26</v>
      </c>
      <c r="J504">
        <v>1</v>
      </c>
      <c r="K504" t="s">
        <v>44</v>
      </c>
      <c r="L504">
        <v>3</v>
      </c>
      <c r="M504" t="s">
        <v>63</v>
      </c>
      <c r="N504">
        <v>9000</v>
      </c>
      <c r="O504">
        <v>8</v>
      </c>
      <c r="P504">
        <v>72000</v>
      </c>
      <c r="Q504">
        <v>75.58</v>
      </c>
      <c r="R504" t="s">
        <v>46</v>
      </c>
      <c r="S504" t="s">
        <v>47</v>
      </c>
      <c r="T504">
        <f t="shared" si="30"/>
        <v>0</v>
      </c>
      <c r="U504" t="str">
        <f t="shared" si="31"/>
        <v>0-6 Months</v>
      </c>
    </row>
    <row r="505" spans="1:21" hidden="1">
      <c r="A505" t="s">
        <v>828</v>
      </c>
      <c r="B505" t="s">
        <v>385</v>
      </c>
      <c r="C505" s="2" t="s">
        <v>663</v>
      </c>
      <c r="D505" s="2" t="str">
        <f t="shared" si="28"/>
        <v>Sarah Munoz</v>
      </c>
      <c r="E505">
        <v>67</v>
      </c>
      <c r="F505" s="3" t="str">
        <f t="shared" si="29"/>
        <v>60-69</v>
      </c>
      <c r="G505" t="s">
        <v>210</v>
      </c>
      <c r="H505" t="s">
        <v>35</v>
      </c>
      <c r="I505" t="s">
        <v>36</v>
      </c>
      <c r="J505">
        <v>5</v>
      </c>
      <c r="K505" t="s">
        <v>68</v>
      </c>
      <c r="L505">
        <v>32</v>
      </c>
      <c r="M505" t="s">
        <v>73</v>
      </c>
      <c r="N505">
        <v>16000</v>
      </c>
      <c r="O505">
        <v>9</v>
      </c>
      <c r="P505">
        <v>144000</v>
      </c>
      <c r="Q505">
        <v>103.15</v>
      </c>
      <c r="R505" t="s">
        <v>29</v>
      </c>
      <c r="S505" t="s">
        <v>362</v>
      </c>
      <c r="T505">
        <f t="shared" si="30"/>
        <v>144000</v>
      </c>
      <c r="U505" t="str">
        <f t="shared" si="31"/>
        <v>24+ Months</v>
      </c>
    </row>
    <row r="506" spans="1:21" hidden="1">
      <c r="A506" t="s">
        <v>829</v>
      </c>
      <c r="B506" t="s">
        <v>385</v>
      </c>
      <c r="C506" s="2" t="s">
        <v>663</v>
      </c>
      <c r="D506" s="2" t="str">
        <f t="shared" si="28"/>
        <v>Sarah Munoz</v>
      </c>
      <c r="E506">
        <v>67</v>
      </c>
      <c r="F506" s="3" t="str">
        <f t="shared" si="29"/>
        <v>60-69</v>
      </c>
      <c r="G506" t="s">
        <v>210</v>
      </c>
      <c r="H506" t="s">
        <v>51</v>
      </c>
      <c r="I506" t="s">
        <v>36</v>
      </c>
      <c r="J506">
        <v>5</v>
      </c>
      <c r="K506" t="s">
        <v>68</v>
      </c>
      <c r="L506">
        <v>32</v>
      </c>
      <c r="M506" t="s">
        <v>45</v>
      </c>
      <c r="N506">
        <v>20000</v>
      </c>
      <c r="O506">
        <v>6</v>
      </c>
      <c r="P506">
        <v>120000</v>
      </c>
      <c r="Q506">
        <v>30.47</v>
      </c>
      <c r="R506" t="s">
        <v>29</v>
      </c>
      <c r="S506" t="s">
        <v>362</v>
      </c>
      <c r="T506">
        <f t="shared" si="30"/>
        <v>120000</v>
      </c>
      <c r="U506" t="str">
        <f t="shared" si="31"/>
        <v>24+ Months</v>
      </c>
    </row>
    <row r="507" spans="1:21">
      <c r="A507" t="s">
        <v>830</v>
      </c>
      <c r="B507" t="s">
        <v>54</v>
      </c>
      <c r="C507" s="2" t="s">
        <v>448</v>
      </c>
      <c r="D507" s="2" t="str">
        <f t="shared" si="28"/>
        <v>Ejiro Collins</v>
      </c>
      <c r="E507">
        <v>31</v>
      </c>
      <c r="F507" s="3" t="str">
        <f t="shared" si="29"/>
        <v>30-39</v>
      </c>
      <c r="G507" t="s">
        <v>154</v>
      </c>
      <c r="H507" t="s">
        <v>35</v>
      </c>
      <c r="I507" t="s">
        <v>36</v>
      </c>
      <c r="J507">
        <v>1</v>
      </c>
      <c r="K507" t="s">
        <v>44</v>
      </c>
      <c r="L507">
        <v>52</v>
      </c>
      <c r="M507" t="s">
        <v>227</v>
      </c>
      <c r="N507">
        <v>600</v>
      </c>
      <c r="O507">
        <v>14</v>
      </c>
      <c r="P507">
        <v>8400</v>
      </c>
      <c r="Q507">
        <v>129.63</v>
      </c>
      <c r="R507" t="s">
        <v>46</v>
      </c>
      <c r="S507" t="s">
        <v>47</v>
      </c>
      <c r="T507">
        <f t="shared" si="30"/>
        <v>0</v>
      </c>
      <c r="U507" t="str">
        <f t="shared" si="31"/>
        <v>24+ Months</v>
      </c>
    </row>
    <row r="508" spans="1:21">
      <c r="A508" t="s">
        <v>831</v>
      </c>
      <c r="B508" t="s">
        <v>54</v>
      </c>
      <c r="C508" s="2" t="s">
        <v>448</v>
      </c>
      <c r="D508" s="2" t="str">
        <f t="shared" si="28"/>
        <v>Ejiro Collins</v>
      </c>
      <c r="E508">
        <v>31</v>
      </c>
      <c r="F508" s="3" t="str">
        <f t="shared" si="29"/>
        <v>30-39</v>
      </c>
      <c r="G508" t="s">
        <v>154</v>
      </c>
      <c r="H508" t="s">
        <v>51</v>
      </c>
      <c r="I508" t="s">
        <v>36</v>
      </c>
      <c r="J508">
        <v>1</v>
      </c>
      <c r="K508" t="s">
        <v>44</v>
      </c>
      <c r="L508">
        <v>52</v>
      </c>
      <c r="M508" t="s">
        <v>52</v>
      </c>
      <c r="N508">
        <v>9000</v>
      </c>
      <c r="O508">
        <v>5</v>
      </c>
      <c r="P508">
        <v>45000</v>
      </c>
      <c r="Q508">
        <v>49.11</v>
      </c>
      <c r="R508" t="s">
        <v>46</v>
      </c>
      <c r="S508" t="s">
        <v>47</v>
      </c>
      <c r="T508">
        <f t="shared" si="30"/>
        <v>0</v>
      </c>
      <c r="U508" t="str">
        <f t="shared" si="31"/>
        <v>24+ Months</v>
      </c>
    </row>
    <row r="509" spans="1:21" hidden="1">
      <c r="A509" t="s">
        <v>832</v>
      </c>
      <c r="B509" t="s">
        <v>192</v>
      </c>
      <c r="C509" s="2" t="s">
        <v>833</v>
      </c>
      <c r="D509" s="2" t="str">
        <f t="shared" si="28"/>
        <v>Amina Johns</v>
      </c>
      <c r="E509">
        <v>33</v>
      </c>
      <c r="F509" s="3" t="str">
        <f t="shared" si="29"/>
        <v>30-39</v>
      </c>
      <c r="G509" t="s">
        <v>260</v>
      </c>
      <c r="H509" t="s">
        <v>35</v>
      </c>
      <c r="I509" t="s">
        <v>26</v>
      </c>
      <c r="J509">
        <v>1</v>
      </c>
      <c r="K509" t="s">
        <v>44</v>
      </c>
      <c r="L509">
        <v>58</v>
      </c>
      <c r="M509" t="s">
        <v>49</v>
      </c>
      <c r="N509">
        <v>500</v>
      </c>
      <c r="O509">
        <v>7</v>
      </c>
      <c r="P509">
        <v>3500</v>
      </c>
      <c r="Q509">
        <v>189.48</v>
      </c>
      <c r="R509" t="s">
        <v>29</v>
      </c>
      <c r="S509" t="s">
        <v>362</v>
      </c>
      <c r="T509">
        <f t="shared" si="30"/>
        <v>3500</v>
      </c>
      <c r="U509" t="str">
        <f t="shared" si="31"/>
        <v>24+ Months</v>
      </c>
    </row>
    <row r="510" spans="1:21" hidden="1">
      <c r="A510" t="s">
        <v>834</v>
      </c>
      <c r="B510" t="s">
        <v>192</v>
      </c>
      <c r="C510" s="2" t="s">
        <v>833</v>
      </c>
      <c r="D510" s="2" t="str">
        <f t="shared" si="28"/>
        <v>Amina Johns</v>
      </c>
      <c r="E510">
        <v>33</v>
      </c>
      <c r="F510" s="3" t="str">
        <f t="shared" si="29"/>
        <v>30-39</v>
      </c>
      <c r="G510" t="s">
        <v>260</v>
      </c>
      <c r="H510" t="s">
        <v>43</v>
      </c>
      <c r="I510" t="s">
        <v>26</v>
      </c>
      <c r="J510">
        <v>1</v>
      </c>
      <c r="K510" t="s">
        <v>44</v>
      </c>
      <c r="L510">
        <v>58</v>
      </c>
      <c r="M510" t="s">
        <v>71</v>
      </c>
      <c r="N510">
        <v>150000</v>
      </c>
      <c r="O510">
        <v>16</v>
      </c>
      <c r="P510">
        <v>2400000</v>
      </c>
      <c r="Q510">
        <v>121.5</v>
      </c>
      <c r="R510" t="s">
        <v>29</v>
      </c>
      <c r="S510" t="s">
        <v>362</v>
      </c>
      <c r="T510">
        <f t="shared" si="30"/>
        <v>2400000</v>
      </c>
      <c r="U510" t="str">
        <f t="shared" si="31"/>
        <v>24+ Months</v>
      </c>
    </row>
    <row r="511" spans="1:21" hidden="1">
      <c r="A511" t="s">
        <v>835</v>
      </c>
      <c r="B511" t="s">
        <v>192</v>
      </c>
      <c r="C511" s="2" t="s">
        <v>833</v>
      </c>
      <c r="D511" s="2" t="str">
        <f t="shared" si="28"/>
        <v>Amina Johns</v>
      </c>
      <c r="E511">
        <v>33</v>
      </c>
      <c r="F511" s="3" t="str">
        <f t="shared" si="29"/>
        <v>30-39</v>
      </c>
      <c r="G511" t="s">
        <v>260</v>
      </c>
      <c r="H511" t="s">
        <v>51</v>
      </c>
      <c r="I511" t="s">
        <v>26</v>
      </c>
      <c r="J511">
        <v>1</v>
      </c>
      <c r="K511" t="s">
        <v>44</v>
      </c>
      <c r="L511">
        <v>58</v>
      </c>
      <c r="M511" t="s">
        <v>91</v>
      </c>
      <c r="N511">
        <v>14500</v>
      </c>
      <c r="O511">
        <v>14</v>
      </c>
      <c r="P511">
        <v>203000</v>
      </c>
      <c r="Q511">
        <v>34.53</v>
      </c>
      <c r="R511" t="s">
        <v>29</v>
      </c>
      <c r="S511" t="s">
        <v>362</v>
      </c>
      <c r="T511">
        <f t="shared" si="30"/>
        <v>203000</v>
      </c>
      <c r="U511" t="str">
        <f t="shared" si="31"/>
        <v>24+ Months</v>
      </c>
    </row>
    <row r="512" spans="1:21">
      <c r="A512" t="s">
        <v>836</v>
      </c>
      <c r="B512" t="s">
        <v>134</v>
      </c>
      <c r="C512" s="2" t="s">
        <v>837</v>
      </c>
      <c r="D512" s="2" t="str">
        <f t="shared" si="28"/>
        <v>Obinna Simon</v>
      </c>
      <c r="E512">
        <v>39</v>
      </c>
      <c r="F512" s="3" t="str">
        <f t="shared" si="29"/>
        <v>30-39</v>
      </c>
      <c r="G512" t="s">
        <v>260</v>
      </c>
      <c r="H512" t="s">
        <v>25</v>
      </c>
      <c r="I512" t="s">
        <v>36</v>
      </c>
      <c r="J512">
        <v>4</v>
      </c>
      <c r="K512" t="s">
        <v>155</v>
      </c>
      <c r="L512">
        <v>11</v>
      </c>
      <c r="M512" t="s">
        <v>28</v>
      </c>
      <c r="N512">
        <v>35000</v>
      </c>
      <c r="O512">
        <v>4</v>
      </c>
      <c r="P512">
        <v>140000</v>
      </c>
      <c r="Q512">
        <v>77.400000000000006</v>
      </c>
      <c r="R512" t="s">
        <v>46</v>
      </c>
      <c r="S512" t="s">
        <v>47</v>
      </c>
      <c r="T512">
        <f t="shared" si="30"/>
        <v>0</v>
      </c>
      <c r="U512" t="str">
        <f t="shared" si="31"/>
        <v>7-12 Months</v>
      </c>
    </row>
    <row r="513" spans="1:21" hidden="1">
      <c r="A513" t="s">
        <v>838</v>
      </c>
      <c r="B513" t="s">
        <v>490</v>
      </c>
      <c r="C513" s="2" t="s">
        <v>839</v>
      </c>
      <c r="D513" s="2" t="str">
        <f t="shared" si="28"/>
        <v>Funke Alexander</v>
      </c>
      <c r="E513">
        <v>41</v>
      </c>
      <c r="F513" s="3" t="str">
        <f t="shared" si="29"/>
        <v>40-49</v>
      </c>
      <c r="G513" t="s">
        <v>96</v>
      </c>
      <c r="H513" t="s">
        <v>51</v>
      </c>
      <c r="I513" t="s">
        <v>36</v>
      </c>
      <c r="J513">
        <v>5</v>
      </c>
      <c r="K513" t="s">
        <v>68</v>
      </c>
      <c r="L513">
        <v>53</v>
      </c>
      <c r="M513" t="s">
        <v>52</v>
      </c>
      <c r="N513">
        <v>9000</v>
      </c>
      <c r="O513">
        <v>5</v>
      </c>
      <c r="P513">
        <v>45000</v>
      </c>
      <c r="Q513">
        <v>96.71</v>
      </c>
      <c r="R513" t="s">
        <v>29</v>
      </c>
      <c r="S513" t="s">
        <v>229</v>
      </c>
      <c r="T513">
        <f t="shared" si="30"/>
        <v>45000</v>
      </c>
      <c r="U513" t="str">
        <f t="shared" si="31"/>
        <v>24+ Months</v>
      </c>
    </row>
    <row r="514" spans="1:21" hidden="1">
      <c r="A514" t="s">
        <v>840</v>
      </c>
      <c r="B514" t="s">
        <v>490</v>
      </c>
      <c r="C514" s="2" t="s">
        <v>839</v>
      </c>
      <c r="D514" s="2" t="str">
        <f t="shared" si="28"/>
        <v>Funke Alexander</v>
      </c>
      <c r="E514">
        <v>41</v>
      </c>
      <c r="F514" s="3" t="str">
        <f t="shared" si="29"/>
        <v>40-49</v>
      </c>
      <c r="G514" t="s">
        <v>96</v>
      </c>
      <c r="H514" t="s">
        <v>43</v>
      </c>
      <c r="I514" t="s">
        <v>36</v>
      </c>
      <c r="J514">
        <v>5</v>
      </c>
      <c r="K514" t="s">
        <v>68</v>
      </c>
      <c r="L514">
        <v>53</v>
      </c>
      <c r="M514" t="s">
        <v>52</v>
      </c>
      <c r="N514">
        <v>9000</v>
      </c>
      <c r="O514">
        <v>14</v>
      </c>
      <c r="P514">
        <v>126000</v>
      </c>
      <c r="Q514">
        <v>179.45</v>
      </c>
      <c r="R514" t="s">
        <v>29</v>
      </c>
      <c r="S514" t="s">
        <v>229</v>
      </c>
      <c r="T514">
        <f t="shared" si="30"/>
        <v>126000</v>
      </c>
      <c r="U514" t="str">
        <f t="shared" si="31"/>
        <v>24+ Months</v>
      </c>
    </row>
    <row r="515" spans="1:21" hidden="1">
      <c r="A515" t="s">
        <v>841</v>
      </c>
      <c r="B515" t="s">
        <v>490</v>
      </c>
      <c r="C515" s="2" t="s">
        <v>839</v>
      </c>
      <c r="D515" s="2" t="str">
        <f t="shared" ref="D515:D578" si="32">B515&amp;" "&amp;C515</f>
        <v>Funke Alexander</v>
      </c>
      <c r="E515">
        <v>41</v>
      </c>
      <c r="F515" s="3" t="str">
        <f t="shared" ref="F515:F578" si="33">FLOOR(E515, 10)&amp;"-"&amp;FLOOR(E515, 10)+9</f>
        <v>40-49</v>
      </c>
      <c r="G515" t="s">
        <v>96</v>
      </c>
      <c r="H515" t="s">
        <v>35</v>
      </c>
      <c r="I515" t="s">
        <v>36</v>
      </c>
      <c r="J515">
        <v>5</v>
      </c>
      <c r="K515" t="s">
        <v>68</v>
      </c>
      <c r="L515">
        <v>53</v>
      </c>
      <c r="M515" t="s">
        <v>264</v>
      </c>
      <c r="N515">
        <v>6500</v>
      </c>
      <c r="O515">
        <v>2</v>
      </c>
      <c r="P515">
        <v>13000</v>
      </c>
      <c r="Q515">
        <v>84.43</v>
      </c>
      <c r="R515" t="s">
        <v>29</v>
      </c>
      <c r="S515" t="s">
        <v>229</v>
      </c>
      <c r="T515">
        <f t="shared" ref="T515:T578" si="34">IF(R515="Yes",P515,0)</f>
        <v>13000</v>
      </c>
      <c r="U515" t="str">
        <f t="shared" ref="U515:U578" si="35">IF(L515&lt;=6,"0-6 Months",
IF(L515&lt;=12,"7-12 Months",
IF(L515&lt;=24,"13-24 Months","24+ Months")))</f>
        <v>24+ Months</v>
      </c>
    </row>
    <row r="516" spans="1:21">
      <c r="A516" t="s">
        <v>842</v>
      </c>
      <c r="B516" t="s">
        <v>385</v>
      </c>
      <c r="C516" s="2" t="s">
        <v>843</v>
      </c>
      <c r="D516" s="2" t="str">
        <f t="shared" si="32"/>
        <v>Sarah Fritz</v>
      </c>
      <c r="E516">
        <v>70</v>
      </c>
      <c r="F516" s="3" t="str">
        <f t="shared" si="33"/>
        <v>70-79</v>
      </c>
      <c r="G516" t="s">
        <v>154</v>
      </c>
      <c r="H516" t="s">
        <v>51</v>
      </c>
      <c r="I516" t="s">
        <v>36</v>
      </c>
      <c r="J516">
        <v>3</v>
      </c>
      <c r="K516" t="s">
        <v>62</v>
      </c>
      <c r="L516">
        <v>51</v>
      </c>
      <c r="M516" t="s">
        <v>82</v>
      </c>
      <c r="N516">
        <v>30000</v>
      </c>
      <c r="O516">
        <v>8</v>
      </c>
      <c r="P516">
        <v>240000</v>
      </c>
      <c r="Q516">
        <v>95.69</v>
      </c>
      <c r="R516" t="s">
        <v>46</v>
      </c>
      <c r="S516" t="s">
        <v>47</v>
      </c>
      <c r="T516">
        <f t="shared" si="34"/>
        <v>0</v>
      </c>
      <c r="U516" t="str">
        <f t="shared" si="35"/>
        <v>24+ Months</v>
      </c>
    </row>
    <row r="517" spans="1:21">
      <c r="A517" t="s">
        <v>844</v>
      </c>
      <c r="B517" t="s">
        <v>385</v>
      </c>
      <c r="C517" s="2" t="s">
        <v>843</v>
      </c>
      <c r="D517" s="2" t="str">
        <f t="shared" si="32"/>
        <v>Sarah Fritz</v>
      </c>
      <c r="E517">
        <v>70</v>
      </c>
      <c r="F517" s="3" t="str">
        <f t="shared" si="33"/>
        <v>70-79</v>
      </c>
      <c r="G517" t="s">
        <v>154</v>
      </c>
      <c r="H517" t="s">
        <v>25</v>
      </c>
      <c r="I517" t="s">
        <v>36</v>
      </c>
      <c r="J517">
        <v>3</v>
      </c>
      <c r="K517" t="s">
        <v>62</v>
      </c>
      <c r="L517">
        <v>51</v>
      </c>
      <c r="M517" t="s">
        <v>73</v>
      </c>
      <c r="N517">
        <v>16000</v>
      </c>
      <c r="O517">
        <v>18</v>
      </c>
      <c r="P517">
        <v>288000</v>
      </c>
      <c r="Q517">
        <v>57.01</v>
      </c>
      <c r="R517" t="s">
        <v>46</v>
      </c>
      <c r="S517" t="s">
        <v>47</v>
      </c>
      <c r="T517">
        <f t="shared" si="34"/>
        <v>0</v>
      </c>
      <c r="U517" t="str">
        <f t="shared" si="35"/>
        <v>24+ Months</v>
      </c>
    </row>
    <row r="518" spans="1:21">
      <c r="A518" t="s">
        <v>845</v>
      </c>
      <c r="B518" t="s">
        <v>385</v>
      </c>
      <c r="C518" s="2" t="s">
        <v>843</v>
      </c>
      <c r="D518" s="2" t="str">
        <f t="shared" si="32"/>
        <v>Sarah Fritz</v>
      </c>
      <c r="E518">
        <v>70</v>
      </c>
      <c r="F518" s="3" t="str">
        <f t="shared" si="33"/>
        <v>70-79</v>
      </c>
      <c r="G518" t="s">
        <v>154</v>
      </c>
      <c r="H518" t="s">
        <v>35</v>
      </c>
      <c r="I518" t="s">
        <v>36</v>
      </c>
      <c r="J518">
        <v>3</v>
      </c>
      <c r="K518" t="s">
        <v>62</v>
      </c>
      <c r="L518">
        <v>51</v>
      </c>
      <c r="M518" t="s">
        <v>113</v>
      </c>
      <c r="N518">
        <v>7500</v>
      </c>
      <c r="O518">
        <v>1</v>
      </c>
      <c r="P518">
        <v>7500</v>
      </c>
      <c r="Q518">
        <v>51.93</v>
      </c>
      <c r="R518" t="s">
        <v>46</v>
      </c>
      <c r="S518" t="s">
        <v>47</v>
      </c>
      <c r="T518">
        <f t="shared" si="34"/>
        <v>0</v>
      </c>
      <c r="U518" t="str">
        <f t="shared" si="35"/>
        <v>24+ Months</v>
      </c>
    </row>
    <row r="519" spans="1:21">
      <c r="A519" t="s">
        <v>846</v>
      </c>
      <c r="B519" t="s">
        <v>126</v>
      </c>
      <c r="C519" s="2" t="s">
        <v>268</v>
      </c>
      <c r="D519" s="2" t="str">
        <f t="shared" si="32"/>
        <v>Tunde Smith</v>
      </c>
      <c r="E519">
        <v>31</v>
      </c>
      <c r="F519" s="3" t="str">
        <f t="shared" si="33"/>
        <v>30-39</v>
      </c>
      <c r="G519" t="s">
        <v>96</v>
      </c>
      <c r="H519" t="s">
        <v>35</v>
      </c>
      <c r="I519" t="s">
        <v>26</v>
      </c>
      <c r="J519">
        <v>3</v>
      </c>
      <c r="K519" t="s">
        <v>62</v>
      </c>
      <c r="L519">
        <v>25</v>
      </c>
      <c r="M519" t="s">
        <v>28</v>
      </c>
      <c r="N519">
        <v>35000</v>
      </c>
      <c r="O519">
        <v>9</v>
      </c>
      <c r="P519">
        <v>315000</v>
      </c>
      <c r="Q519">
        <v>130.49</v>
      </c>
      <c r="R519" t="s">
        <v>46</v>
      </c>
      <c r="S519" t="s">
        <v>47</v>
      </c>
      <c r="T519">
        <f t="shared" si="34"/>
        <v>0</v>
      </c>
      <c r="U519" t="str">
        <f t="shared" si="35"/>
        <v>24+ Months</v>
      </c>
    </row>
    <row r="520" spans="1:21">
      <c r="A520" t="s">
        <v>847</v>
      </c>
      <c r="B520" t="s">
        <v>40</v>
      </c>
      <c r="C520" s="2" t="s">
        <v>533</v>
      </c>
      <c r="D520" s="2" t="str">
        <f t="shared" si="32"/>
        <v>Saidu Martinez</v>
      </c>
      <c r="E520">
        <v>70</v>
      </c>
      <c r="F520" s="3" t="str">
        <f t="shared" si="33"/>
        <v>70-79</v>
      </c>
      <c r="G520" t="s">
        <v>56</v>
      </c>
      <c r="H520" t="s">
        <v>35</v>
      </c>
      <c r="I520" t="s">
        <v>36</v>
      </c>
      <c r="J520">
        <v>2</v>
      </c>
      <c r="K520" t="s">
        <v>27</v>
      </c>
      <c r="L520">
        <v>44</v>
      </c>
      <c r="M520" t="s">
        <v>264</v>
      </c>
      <c r="N520">
        <v>6500</v>
      </c>
      <c r="O520">
        <v>9</v>
      </c>
      <c r="P520">
        <v>58500</v>
      </c>
      <c r="Q520">
        <v>111.2</v>
      </c>
      <c r="R520" t="s">
        <v>46</v>
      </c>
      <c r="S520" t="s">
        <v>47</v>
      </c>
      <c r="T520">
        <f t="shared" si="34"/>
        <v>0</v>
      </c>
      <c r="U520" t="str">
        <f t="shared" si="35"/>
        <v>24+ Months</v>
      </c>
    </row>
    <row r="521" spans="1:21">
      <c r="A521" t="s">
        <v>848</v>
      </c>
      <c r="B521" t="s">
        <v>40</v>
      </c>
      <c r="C521" s="2" t="s">
        <v>533</v>
      </c>
      <c r="D521" s="2" t="str">
        <f t="shared" si="32"/>
        <v>Saidu Martinez</v>
      </c>
      <c r="E521">
        <v>70</v>
      </c>
      <c r="F521" s="3" t="str">
        <f t="shared" si="33"/>
        <v>70-79</v>
      </c>
      <c r="G521" t="s">
        <v>56</v>
      </c>
      <c r="H521" t="s">
        <v>51</v>
      </c>
      <c r="I521" t="s">
        <v>36</v>
      </c>
      <c r="J521">
        <v>2</v>
      </c>
      <c r="K521" t="s">
        <v>27</v>
      </c>
      <c r="L521">
        <v>44</v>
      </c>
      <c r="M521" t="s">
        <v>82</v>
      </c>
      <c r="N521">
        <v>30000</v>
      </c>
      <c r="O521">
        <v>13</v>
      </c>
      <c r="P521">
        <v>390000</v>
      </c>
      <c r="Q521">
        <v>115.74</v>
      </c>
      <c r="R521" t="s">
        <v>46</v>
      </c>
      <c r="S521" t="s">
        <v>47</v>
      </c>
      <c r="T521">
        <f t="shared" si="34"/>
        <v>0</v>
      </c>
      <c r="U521" t="str">
        <f t="shared" si="35"/>
        <v>24+ Months</v>
      </c>
    </row>
    <row r="522" spans="1:21">
      <c r="A522" t="s">
        <v>849</v>
      </c>
      <c r="B522" t="s">
        <v>40</v>
      </c>
      <c r="C522" s="2" t="s">
        <v>533</v>
      </c>
      <c r="D522" s="2" t="str">
        <f t="shared" si="32"/>
        <v>Saidu Martinez</v>
      </c>
      <c r="E522">
        <v>70</v>
      </c>
      <c r="F522" s="3" t="str">
        <f t="shared" si="33"/>
        <v>70-79</v>
      </c>
      <c r="G522" t="s">
        <v>56</v>
      </c>
      <c r="H522" t="s">
        <v>25</v>
      </c>
      <c r="I522" t="s">
        <v>36</v>
      </c>
      <c r="J522">
        <v>2</v>
      </c>
      <c r="K522" t="s">
        <v>27</v>
      </c>
      <c r="L522">
        <v>44</v>
      </c>
      <c r="M522" t="s">
        <v>57</v>
      </c>
      <c r="N522">
        <v>4500</v>
      </c>
      <c r="O522">
        <v>4</v>
      </c>
      <c r="P522">
        <v>18000</v>
      </c>
      <c r="Q522">
        <v>171.07</v>
      </c>
      <c r="R522" t="s">
        <v>46</v>
      </c>
      <c r="S522" t="s">
        <v>47</v>
      </c>
      <c r="T522">
        <f t="shared" si="34"/>
        <v>0</v>
      </c>
      <c r="U522" t="str">
        <f t="shared" si="35"/>
        <v>24+ Months</v>
      </c>
    </row>
    <row r="523" spans="1:21">
      <c r="A523" t="s">
        <v>850</v>
      </c>
      <c r="B523" t="s">
        <v>59</v>
      </c>
      <c r="C523" s="2" t="s">
        <v>851</v>
      </c>
      <c r="D523" s="2" t="str">
        <f t="shared" si="32"/>
        <v>Nura Hunter</v>
      </c>
      <c r="E523">
        <v>73</v>
      </c>
      <c r="F523" s="3" t="str">
        <f t="shared" si="33"/>
        <v>70-79</v>
      </c>
      <c r="G523" t="s">
        <v>34</v>
      </c>
      <c r="H523" t="s">
        <v>51</v>
      </c>
      <c r="I523" t="s">
        <v>26</v>
      </c>
      <c r="J523">
        <v>3</v>
      </c>
      <c r="K523" t="s">
        <v>62</v>
      </c>
      <c r="L523">
        <v>14</v>
      </c>
      <c r="M523" t="s">
        <v>52</v>
      </c>
      <c r="N523">
        <v>9000</v>
      </c>
      <c r="O523">
        <v>5</v>
      </c>
      <c r="P523">
        <v>45000</v>
      </c>
      <c r="Q523">
        <v>160.97</v>
      </c>
      <c r="R523" t="s">
        <v>46</v>
      </c>
      <c r="S523" t="s">
        <v>47</v>
      </c>
      <c r="T523">
        <f t="shared" si="34"/>
        <v>0</v>
      </c>
      <c r="U523" t="str">
        <f t="shared" si="35"/>
        <v>13-24 Months</v>
      </c>
    </row>
    <row r="524" spans="1:21">
      <c r="A524" t="s">
        <v>852</v>
      </c>
      <c r="B524" t="s">
        <v>59</v>
      </c>
      <c r="C524" s="2" t="s">
        <v>851</v>
      </c>
      <c r="D524" s="2" t="str">
        <f t="shared" si="32"/>
        <v>Nura Hunter</v>
      </c>
      <c r="E524">
        <v>73</v>
      </c>
      <c r="F524" s="3" t="str">
        <f t="shared" si="33"/>
        <v>70-79</v>
      </c>
      <c r="G524" t="s">
        <v>34</v>
      </c>
      <c r="H524" t="s">
        <v>35</v>
      </c>
      <c r="I524" t="s">
        <v>26</v>
      </c>
      <c r="J524">
        <v>3</v>
      </c>
      <c r="K524" t="s">
        <v>62</v>
      </c>
      <c r="L524">
        <v>14</v>
      </c>
      <c r="M524" t="s">
        <v>37</v>
      </c>
      <c r="N524">
        <v>5500</v>
      </c>
      <c r="O524">
        <v>14</v>
      </c>
      <c r="P524">
        <v>77000</v>
      </c>
      <c r="Q524">
        <v>185.21</v>
      </c>
      <c r="R524" t="s">
        <v>46</v>
      </c>
      <c r="S524" t="s">
        <v>47</v>
      </c>
      <c r="T524">
        <f t="shared" si="34"/>
        <v>0</v>
      </c>
      <c r="U524" t="str">
        <f t="shared" si="35"/>
        <v>13-24 Months</v>
      </c>
    </row>
    <row r="525" spans="1:21">
      <c r="A525" t="s">
        <v>853</v>
      </c>
      <c r="B525" t="s">
        <v>59</v>
      </c>
      <c r="C525" s="2" t="s">
        <v>851</v>
      </c>
      <c r="D525" s="2" t="str">
        <f t="shared" si="32"/>
        <v>Nura Hunter</v>
      </c>
      <c r="E525">
        <v>73</v>
      </c>
      <c r="F525" s="3" t="str">
        <f t="shared" si="33"/>
        <v>70-79</v>
      </c>
      <c r="G525" t="s">
        <v>34</v>
      </c>
      <c r="H525" t="s">
        <v>25</v>
      </c>
      <c r="I525" t="s">
        <v>26</v>
      </c>
      <c r="J525">
        <v>3</v>
      </c>
      <c r="K525" t="s">
        <v>62</v>
      </c>
      <c r="L525">
        <v>14</v>
      </c>
      <c r="M525" t="s">
        <v>73</v>
      </c>
      <c r="N525">
        <v>16000</v>
      </c>
      <c r="O525">
        <v>8</v>
      </c>
      <c r="P525">
        <v>128000</v>
      </c>
      <c r="Q525">
        <v>13.28</v>
      </c>
      <c r="R525" t="s">
        <v>46</v>
      </c>
      <c r="S525" t="s">
        <v>47</v>
      </c>
      <c r="T525">
        <f t="shared" si="34"/>
        <v>0</v>
      </c>
      <c r="U525" t="str">
        <f t="shared" si="35"/>
        <v>13-24 Months</v>
      </c>
    </row>
    <row r="526" spans="1:21">
      <c r="A526" t="s">
        <v>854</v>
      </c>
      <c r="B526" t="s">
        <v>54</v>
      </c>
      <c r="C526" s="2" t="s">
        <v>855</v>
      </c>
      <c r="D526" s="2" t="str">
        <f t="shared" si="32"/>
        <v>Ejiro Mendoza</v>
      </c>
      <c r="E526">
        <v>26</v>
      </c>
      <c r="F526" s="3" t="str">
        <f t="shared" si="33"/>
        <v>20-29</v>
      </c>
      <c r="G526" t="s">
        <v>175</v>
      </c>
      <c r="H526" t="s">
        <v>51</v>
      </c>
      <c r="I526" t="s">
        <v>36</v>
      </c>
      <c r="J526">
        <v>5</v>
      </c>
      <c r="K526" t="s">
        <v>68</v>
      </c>
      <c r="L526">
        <v>60</v>
      </c>
      <c r="M526" t="s">
        <v>91</v>
      </c>
      <c r="N526">
        <v>14500</v>
      </c>
      <c r="O526">
        <v>7</v>
      </c>
      <c r="P526">
        <v>101500</v>
      </c>
      <c r="Q526">
        <v>88.07</v>
      </c>
      <c r="R526" t="s">
        <v>46</v>
      </c>
      <c r="S526" t="s">
        <v>47</v>
      </c>
      <c r="T526">
        <f t="shared" si="34"/>
        <v>0</v>
      </c>
      <c r="U526" t="str">
        <f t="shared" si="35"/>
        <v>24+ Months</v>
      </c>
    </row>
    <row r="527" spans="1:21">
      <c r="A527" t="s">
        <v>856</v>
      </c>
      <c r="B527" t="s">
        <v>54</v>
      </c>
      <c r="C527" s="2" t="s">
        <v>855</v>
      </c>
      <c r="D527" s="2" t="str">
        <f t="shared" si="32"/>
        <v>Ejiro Mendoza</v>
      </c>
      <c r="E527">
        <v>26</v>
      </c>
      <c r="F527" s="3" t="str">
        <f t="shared" si="33"/>
        <v>20-29</v>
      </c>
      <c r="G527" t="s">
        <v>175</v>
      </c>
      <c r="H527" t="s">
        <v>35</v>
      </c>
      <c r="I527" t="s">
        <v>36</v>
      </c>
      <c r="J527">
        <v>5</v>
      </c>
      <c r="K527" t="s">
        <v>68</v>
      </c>
      <c r="L527">
        <v>60</v>
      </c>
      <c r="M527" t="s">
        <v>264</v>
      </c>
      <c r="N527">
        <v>6500</v>
      </c>
      <c r="O527">
        <v>2</v>
      </c>
      <c r="P527">
        <v>13000</v>
      </c>
      <c r="Q527">
        <v>57.56</v>
      </c>
      <c r="R527" t="s">
        <v>46</v>
      </c>
      <c r="S527" t="s">
        <v>47</v>
      </c>
      <c r="T527">
        <f t="shared" si="34"/>
        <v>0</v>
      </c>
      <c r="U527" t="str">
        <f t="shared" si="35"/>
        <v>24+ Months</v>
      </c>
    </row>
    <row r="528" spans="1:21">
      <c r="A528" t="s">
        <v>857</v>
      </c>
      <c r="B528" t="s">
        <v>345</v>
      </c>
      <c r="C528" s="2" t="s">
        <v>798</v>
      </c>
      <c r="D528" s="2" t="str">
        <f t="shared" si="32"/>
        <v>Michael Peterson</v>
      </c>
      <c r="E528">
        <v>45</v>
      </c>
      <c r="F528" s="3" t="str">
        <f t="shared" si="33"/>
        <v>40-49</v>
      </c>
      <c r="G528" t="s">
        <v>34</v>
      </c>
      <c r="H528" t="s">
        <v>43</v>
      </c>
      <c r="I528" t="s">
        <v>26</v>
      </c>
      <c r="J528">
        <v>1</v>
      </c>
      <c r="K528" t="s">
        <v>44</v>
      </c>
      <c r="L528">
        <v>24</v>
      </c>
      <c r="M528" t="s">
        <v>143</v>
      </c>
      <c r="N528">
        <v>75000</v>
      </c>
      <c r="O528">
        <v>13</v>
      </c>
      <c r="P528">
        <v>975000</v>
      </c>
      <c r="Q528">
        <v>70.95</v>
      </c>
      <c r="R528" t="s">
        <v>46</v>
      </c>
      <c r="S528" t="s">
        <v>47</v>
      </c>
      <c r="T528">
        <f t="shared" si="34"/>
        <v>0</v>
      </c>
      <c r="U528" t="str">
        <f t="shared" si="35"/>
        <v>13-24 Months</v>
      </c>
    </row>
    <row r="529" spans="1:21">
      <c r="A529" t="s">
        <v>858</v>
      </c>
      <c r="B529" t="s">
        <v>65</v>
      </c>
      <c r="C529" s="2" t="s">
        <v>564</v>
      </c>
      <c r="D529" s="2" t="str">
        <f t="shared" si="32"/>
        <v>Tamuno Diaz</v>
      </c>
      <c r="E529">
        <v>41</v>
      </c>
      <c r="F529" s="3" t="str">
        <f t="shared" si="33"/>
        <v>40-49</v>
      </c>
      <c r="G529" t="s">
        <v>96</v>
      </c>
      <c r="H529" t="s">
        <v>43</v>
      </c>
      <c r="I529" t="s">
        <v>26</v>
      </c>
      <c r="J529">
        <v>1</v>
      </c>
      <c r="K529" t="s">
        <v>44</v>
      </c>
      <c r="L529">
        <v>48</v>
      </c>
      <c r="M529" t="s">
        <v>91</v>
      </c>
      <c r="N529">
        <v>14500</v>
      </c>
      <c r="O529">
        <v>7</v>
      </c>
      <c r="P529">
        <v>101500</v>
      </c>
      <c r="Q529">
        <v>121.47</v>
      </c>
      <c r="R529" t="s">
        <v>46</v>
      </c>
      <c r="S529" t="s">
        <v>47</v>
      </c>
      <c r="T529">
        <f t="shared" si="34"/>
        <v>0</v>
      </c>
      <c r="U529" t="str">
        <f t="shared" si="35"/>
        <v>24+ Months</v>
      </c>
    </row>
    <row r="530" spans="1:21">
      <c r="A530" t="s">
        <v>859</v>
      </c>
      <c r="B530" t="s">
        <v>65</v>
      </c>
      <c r="C530" s="2" t="s">
        <v>564</v>
      </c>
      <c r="D530" s="2" t="str">
        <f t="shared" si="32"/>
        <v>Tamuno Diaz</v>
      </c>
      <c r="E530">
        <v>41</v>
      </c>
      <c r="F530" s="3" t="str">
        <f t="shared" si="33"/>
        <v>40-49</v>
      </c>
      <c r="G530" t="s">
        <v>96</v>
      </c>
      <c r="H530" t="s">
        <v>25</v>
      </c>
      <c r="I530" t="s">
        <v>26</v>
      </c>
      <c r="J530">
        <v>1</v>
      </c>
      <c r="K530" t="s">
        <v>44</v>
      </c>
      <c r="L530">
        <v>48</v>
      </c>
      <c r="M530" t="s">
        <v>28</v>
      </c>
      <c r="N530">
        <v>35000</v>
      </c>
      <c r="O530">
        <v>19</v>
      </c>
      <c r="P530">
        <v>665000</v>
      </c>
      <c r="Q530">
        <v>185.98</v>
      </c>
      <c r="R530" t="s">
        <v>46</v>
      </c>
      <c r="S530" t="s">
        <v>47</v>
      </c>
      <c r="T530">
        <f t="shared" si="34"/>
        <v>0</v>
      </c>
      <c r="U530" t="str">
        <f t="shared" si="35"/>
        <v>24+ Months</v>
      </c>
    </row>
    <row r="531" spans="1:21">
      <c r="A531" t="s">
        <v>860</v>
      </c>
      <c r="B531" t="s">
        <v>65</v>
      </c>
      <c r="C531" s="2" t="s">
        <v>564</v>
      </c>
      <c r="D531" s="2" t="str">
        <f t="shared" si="32"/>
        <v>Tamuno Diaz</v>
      </c>
      <c r="E531">
        <v>41</v>
      </c>
      <c r="F531" s="3" t="str">
        <f t="shared" si="33"/>
        <v>40-49</v>
      </c>
      <c r="G531" t="s">
        <v>96</v>
      </c>
      <c r="H531" t="s">
        <v>35</v>
      </c>
      <c r="I531" t="s">
        <v>26</v>
      </c>
      <c r="J531">
        <v>1</v>
      </c>
      <c r="K531" t="s">
        <v>44</v>
      </c>
      <c r="L531">
        <v>48</v>
      </c>
      <c r="M531" t="s">
        <v>137</v>
      </c>
      <c r="N531">
        <v>900</v>
      </c>
      <c r="O531">
        <v>14</v>
      </c>
      <c r="P531">
        <v>12600</v>
      </c>
      <c r="Q531">
        <v>52.59</v>
      </c>
      <c r="R531" t="s">
        <v>46</v>
      </c>
      <c r="S531" t="s">
        <v>47</v>
      </c>
      <c r="T531">
        <f t="shared" si="34"/>
        <v>0</v>
      </c>
      <c r="U531" t="str">
        <f t="shared" si="35"/>
        <v>24+ Months</v>
      </c>
    </row>
    <row r="532" spans="1:21">
      <c r="A532" t="s">
        <v>861</v>
      </c>
      <c r="B532" t="s">
        <v>345</v>
      </c>
      <c r="C532" s="2" t="s">
        <v>818</v>
      </c>
      <c r="D532" s="2" t="str">
        <f t="shared" si="32"/>
        <v>Michael Rodriguez</v>
      </c>
      <c r="E532">
        <v>29</v>
      </c>
      <c r="F532" s="3" t="str">
        <f t="shared" si="33"/>
        <v>20-29</v>
      </c>
      <c r="G532" t="s">
        <v>201</v>
      </c>
      <c r="H532" t="s">
        <v>43</v>
      </c>
      <c r="I532" t="s">
        <v>36</v>
      </c>
      <c r="J532">
        <v>5</v>
      </c>
      <c r="K532" t="s">
        <v>68</v>
      </c>
      <c r="L532">
        <v>22</v>
      </c>
      <c r="M532" t="s">
        <v>143</v>
      </c>
      <c r="N532">
        <v>75000</v>
      </c>
      <c r="O532">
        <v>8</v>
      </c>
      <c r="P532">
        <v>600000</v>
      </c>
      <c r="Q532">
        <v>112.85</v>
      </c>
      <c r="R532" t="s">
        <v>46</v>
      </c>
      <c r="S532" t="s">
        <v>47</v>
      </c>
      <c r="T532">
        <f t="shared" si="34"/>
        <v>0</v>
      </c>
      <c r="U532" t="str">
        <f t="shared" si="35"/>
        <v>13-24 Months</v>
      </c>
    </row>
    <row r="533" spans="1:21">
      <c r="A533" t="s">
        <v>862</v>
      </c>
      <c r="B533" t="s">
        <v>345</v>
      </c>
      <c r="C533" s="2" t="s">
        <v>818</v>
      </c>
      <c r="D533" s="2" t="str">
        <f t="shared" si="32"/>
        <v>Michael Rodriguez</v>
      </c>
      <c r="E533">
        <v>29</v>
      </c>
      <c r="F533" s="3" t="str">
        <f t="shared" si="33"/>
        <v>20-29</v>
      </c>
      <c r="G533" t="s">
        <v>201</v>
      </c>
      <c r="H533" t="s">
        <v>35</v>
      </c>
      <c r="I533" t="s">
        <v>36</v>
      </c>
      <c r="J533">
        <v>5</v>
      </c>
      <c r="K533" t="s">
        <v>68</v>
      </c>
      <c r="L533">
        <v>22</v>
      </c>
      <c r="M533" t="s">
        <v>69</v>
      </c>
      <c r="N533">
        <v>3500</v>
      </c>
      <c r="O533">
        <v>15</v>
      </c>
      <c r="P533">
        <v>52500</v>
      </c>
      <c r="Q533">
        <v>192.27</v>
      </c>
      <c r="R533" t="s">
        <v>46</v>
      </c>
      <c r="S533" t="s">
        <v>47</v>
      </c>
      <c r="T533">
        <f t="shared" si="34"/>
        <v>0</v>
      </c>
      <c r="U533" t="str">
        <f t="shared" si="35"/>
        <v>13-24 Months</v>
      </c>
    </row>
    <row r="534" spans="1:21">
      <c r="A534" t="s">
        <v>863</v>
      </c>
      <c r="B534" t="s">
        <v>345</v>
      </c>
      <c r="C534" s="2" t="s">
        <v>818</v>
      </c>
      <c r="D534" s="2" t="str">
        <f t="shared" si="32"/>
        <v>Michael Rodriguez</v>
      </c>
      <c r="E534">
        <v>29</v>
      </c>
      <c r="F534" s="3" t="str">
        <f t="shared" si="33"/>
        <v>20-29</v>
      </c>
      <c r="G534" t="s">
        <v>201</v>
      </c>
      <c r="H534" t="s">
        <v>35</v>
      </c>
      <c r="I534" t="s">
        <v>36</v>
      </c>
      <c r="J534">
        <v>5</v>
      </c>
      <c r="K534" t="s">
        <v>68</v>
      </c>
      <c r="L534">
        <v>22</v>
      </c>
      <c r="M534" t="s">
        <v>28</v>
      </c>
      <c r="N534">
        <v>35000</v>
      </c>
      <c r="O534">
        <v>1</v>
      </c>
      <c r="P534">
        <v>35000</v>
      </c>
      <c r="Q534">
        <v>179.36</v>
      </c>
      <c r="R534" t="s">
        <v>46</v>
      </c>
      <c r="S534" t="s">
        <v>47</v>
      </c>
      <c r="T534">
        <f t="shared" si="34"/>
        <v>0</v>
      </c>
      <c r="U534" t="str">
        <f t="shared" si="35"/>
        <v>13-24 Months</v>
      </c>
    </row>
    <row r="535" spans="1:21">
      <c r="A535" t="s">
        <v>864</v>
      </c>
      <c r="B535" t="s">
        <v>369</v>
      </c>
      <c r="C535" s="2" t="s">
        <v>865</v>
      </c>
      <c r="D535" s="2" t="str">
        <f t="shared" si="32"/>
        <v>John Benson</v>
      </c>
      <c r="E535">
        <v>30</v>
      </c>
      <c r="F535" s="3" t="str">
        <f t="shared" si="33"/>
        <v>30-39</v>
      </c>
      <c r="G535" t="s">
        <v>197</v>
      </c>
      <c r="H535" t="s">
        <v>43</v>
      </c>
      <c r="I535" t="s">
        <v>26</v>
      </c>
      <c r="J535">
        <v>2</v>
      </c>
      <c r="K535" t="s">
        <v>27</v>
      </c>
      <c r="L535">
        <v>25</v>
      </c>
      <c r="M535" t="s">
        <v>52</v>
      </c>
      <c r="N535">
        <v>9000</v>
      </c>
      <c r="O535">
        <v>9</v>
      </c>
      <c r="P535">
        <v>81000</v>
      </c>
      <c r="Q535">
        <v>140.31</v>
      </c>
      <c r="R535" t="s">
        <v>46</v>
      </c>
      <c r="S535" t="s">
        <v>47</v>
      </c>
      <c r="T535">
        <f t="shared" si="34"/>
        <v>0</v>
      </c>
      <c r="U535" t="str">
        <f t="shared" si="35"/>
        <v>24+ Months</v>
      </c>
    </row>
    <row r="536" spans="1:21">
      <c r="A536" t="s">
        <v>866</v>
      </c>
      <c r="B536" t="s">
        <v>369</v>
      </c>
      <c r="C536" s="2" t="s">
        <v>865</v>
      </c>
      <c r="D536" s="2" t="str">
        <f t="shared" si="32"/>
        <v>John Benson</v>
      </c>
      <c r="E536">
        <v>30</v>
      </c>
      <c r="F536" s="3" t="str">
        <f t="shared" si="33"/>
        <v>30-39</v>
      </c>
      <c r="G536" t="s">
        <v>197</v>
      </c>
      <c r="H536" t="s">
        <v>35</v>
      </c>
      <c r="I536" t="s">
        <v>26</v>
      </c>
      <c r="J536">
        <v>2</v>
      </c>
      <c r="K536" t="s">
        <v>27</v>
      </c>
      <c r="L536">
        <v>25</v>
      </c>
      <c r="M536" t="s">
        <v>93</v>
      </c>
      <c r="N536">
        <v>350</v>
      </c>
      <c r="O536">
        <v>13</v>
      </c>
      <c r="P536">
        <v>4550</v>
      </c>
      <c r="Q536">
        <v>57.81</v>
      </c>
      <c r="R536" t="s">
        <v>46</v>
      </c>
      <c r="S536" t="s">
        <v>47</v>
      </c>
      <c r="T536">
        <f t="shared" si="34"/>
        <v>0</v>
      </c>
      <c r="U536" t="str">
        <f t="shared" si="35"/>
        <v>24+ Months</v>
      </c>
    </row>
    <row r="537" spans="1:21">
      <c r="A537" t="s">
        <v>867</v>
      </c>
      <c r="B537" t="s">
        <v>249</v>
      </c>
      <c r="C537" s="2" t="s">
        <v>498</v>
      </c>
      <c r="D537" s="2" t="str">
        <f t="shared" si="32"/>
        <v>Tega Cooper</v>
      </c>
      <c r="E537">
        <v>25</v>
      </c>
      <c r="F537" s="3" t="str">
        <f t="shared" si="33"/>
        <v>20-29</v>
      </c>
      <c r="G537" t="s">
        <v>179</v>
      </c>
      <c r="H537" t="s">
        <v>35</v>
      </c>
      <c r="I537" t="s">
        <v>36</v>
      </c>
      <c r="J537">
        <v>2</v>
      </c>
      <c r="K537" t="s">
        <v>27</v>
      </c>
      <c r="L537">
        <v>21</v>
      </c>
      <c r="M537" t="s">
        <v>57</v>
      </c>
      <c r="N537">
        <v>4500</v>
      </c>
      <c r="O537">
        <v>7</v>
      </c>
      <c r="P537">
        <v>31500</v>
      </c>
      <c r="Q537">
        <v>100.05</v>
      </c>
      <c r="R537" t="s">
        <v>46</v>
      </c>
      <c r="S537" t="s">
        <v>47</v>
      </c>
      <c r="T537">
        <f t="shared" si="34"/>
        <v>0</v>
      </c>
      <c r="U537" t="str">
        <f t="shared" si="35"/>
        <v>13-24 Months</v>
      </c>
    </row>
    <row r="538" spans="1:21">
      <c r="A538" t="s">
        <v>868</v>
      </c>
      <c r="B538" t="s">
        <v>249</v>
      </c>
      <c r="C538" s="2" t="s">
        <v>498</v>
      </c>
      <c r="D538" s="2" t="str">
        <f t="shared" si="32"/>
        <v>Tega Cooper</v>
      </c>
      <c r="E538">
        <v>25</v>
      </c>
      <c r="F538" s="3" t="str">
        <f t="shared" si="33"/>
        <v>20-29</v>
      </c>
      <c r="G538" t="s">
        <v>179</v>
      </c>
      <c r="H538" t="s">
        <v>43</v>
      </c>
      <c r="I538" t="s">
        <v>36</v>
      </c>
      <c r="J538">
        <v>2</v>
      </c>
      <c r="K538" t="s">
        <v>27</v>
      </c>
      <c r="L538">
        <v>21</v>
      </c>
      <c r="M538" t="s">
        <v>91</v>
      </c>
      <c r="N538">
        <v>14500</v>
      </c>
      <c r="O538">
        <v>9</v>
      </c>
      <c r="P538">
        <v>130500</v>
      </c>
      <c r="Q538">
        <v>147.22</v>
      </c>
      <c r="R538" t="s">
        <v>46</v>
      </c>
      <c r="S538" t="s">
        <v>47</v>
      </c>
      <c r="T538">
        <f t="shared" si="34"/>
        <v>0</v>
      </c>
      <c r="U538" t="str">
        <f t="shared" si="35"/>
        <v>13-24 Months</v>
      </c>
    </row>
    <row r="539" spans="1:21">
      <c r="A539" t="s">
        <v>869</v>
      </c>
      <c r="B539" t="s">
        <v>335</v>
      </c>
      <c r="C539" s="2" t="s">
        <v>66</v>
      </c>
      <c r="D539" s="2" t="str">
        <f t="shared" si="32"/>
        <v>Fatima Lewis</v>
      </c>
      <c r="E539">
        <v>45</v>
      </c>
      <c r="F539" s="3" t="str">
        <f t="shared" si="33"/>
        <v>40-49</v>
      </c>
      <c r="G539" t="s">
        <v>162</v>
      </c>
      <c r="H539" t="s">
        <v>51</v>
      </c>
      <c r="I539" t="s">
        <v>26</v>
      </c>
      <c r="J539">
        <v>2</v>
      </c>
      <c r="K539" t="s">
        <v>27</v>
      </c>
      <c r="L539">
        <v>54</v>
      </c>
      <c r="M539" t="s">
        <v>91</v>
      </c>
      <c r="N539">
        <v>14500</v>
      </c>
      <c r="O539">
        <v>18</v>
      </c>
      <c r="P539">
        <v>261000</v>
      </c>
      <c r="Q539">
        <v>122.96</v>
      </c>
      <c r="R539" t="s">
        <v>46</v>
      </c>
      <c r="S539" t="s">
        <v>47</v>
      </c>
      <c r="T539">
        <f t="shared" si="34"/>
        <v>0</v>
      </c>
      <c r="U539" t="str">
        <f t="shared" si="35"/>
        <v>24+ Months</v>
      </c>
    </row>
    <row r="540" spans="1:21" hidden="1">
      <c r="A540" t="s">
        <v>870</v>
      </c>
      <c r="B540" t="s">
        <v>404</v>
      </c>
      <c r="C540" s="2" t="s">
        <v>871</v>
      </c>
      <c r="D540" s="2" t="str">
        <f t="shared" si="32"/>
        <v>Bola Duffy</v>
      </c>
      <c r="E540">
        <v>77</v>
      </c>
      <c r="F540" s="3" t="str">
        <f t="shared" si="33"/>
        <v>70-79</v>
      </c>
      <c r="G540" t="s">
        <v>56</v>
      </c>
      <c r="H540" t="s">
        <v>43</v>
      </c>
      <c r="I540" t="s">
        <v>36</v>
      </c>
      <c r="J540">
        <v>4</v>
      </c>
      <c r="K540" t="s">
        <v>155</v>
      </c>
      <c r="L540">
        <v>32</v>
      </c>
      <c r="M540" t="s">
        <v>82</v>
      </c>
      <c r="N540">
        <v>30000</v>
      </c>
      <c r="O540">
        <v>14</v>
      </c>
      <c r="P540">
        <v>420000</v>
      </c>
      <c r="Q540">
        <v>11.3</v>
      </c>
      <c r="R540" t="s">
        <v>29</v>
      </c>
      <c r="S540" t="s">
        <v>38</v>
      </c>
      <c r="T540">
        <f t="shared" si="34"/>
        <v>420000</v>
      </c>
      <c r="U540" t="str">
        <f t="shared" si="35"/>
        <v>24+ Months</v>
      </c>
    </row>
    <row r="541" spans="1:21" hidden="1">
      <c r="A541" t="s">
        <v>872</v>
      </c>
      <c r="B541" t="s">
        <v>404</v>
      </c>
      <c r="C541" s="2" t="s">
        <v>871</v>
      </c>
      <c r="D541" s="2" t="str">
        <f t="shared" si="32"/>
        <v>Bola Duffy</v>
      </c>
      <c r="E541">
        <v>77</v>
      </c>
      <c r="F541" s="3" t="str">
        <f t="shared" si="33"/>
        <v>70-79</v>
      </c>
      <c r="G541" t="s">
        <v>56</v>
      </c>
      <c r="H541" t="s">
        <v>35</v>
      </c>
      <c r="I541" t="s">
        <v>36</v>
      </c>
      <c r="J541">
        <v>4</v>
      </c>
      <c r="K541" t="s">
        <v>155</v>
      </c>
      <c r="L541">
        <v>32</v>
      </c>
      <c r="M541" t="s">
        <v>28</v>
      </c>
      <c r="N541">
        <v>35000</v>
      </c>
      <c r="O541">
        <v>2</v>
      </c>
      <c r="P541">
        <v>70000</v>
      </c>
      <c r="Q541">
        <v>187.96</v>
      </c>
      <c r="R541" t="s">
        <v>29</v>
      </c>
      <c r="S541" t="s">
        <v>38</v>
      </c>
      <c r="T541">
        <f t="shared" si="34"/>
        <v>70000</v>
      </c>
      <c r="U541" t="str">
        <f t="shared" si="35"/>
        <v>24+ Months</v>
      </c>
    </row>
    <row r="542" spans="1:21" hidden="1">
      <c r="A542" t="s">
        <v>873</v>
      </c>
      <c r="B542" t="s">
        <v>404</v>
      </c>
      <c r="C542" s="2" t="s">
        <v>871</v>
      </c>
      <c r="D542" s="2" t="str">
        <f t="shared" si="32"/>
        <v>Bola Duffy</v>
      </c>
      <c r="E542">
        <v>77</v>
      </c>
      <c r="F542" s="3" t="str">
        <f t="shared" si="33"/>
        <v>70-79</v>
      </c>
      <c r="G542" t="s">
        <v>56</v>
      </c>
      <c r="H542" t="s">
        <v>51</v>
      </c>
      <c r="I542" t="s">
        <v>36</v>
      </c>
      <c r="J542">
        <v>4</v>
      </c>
      <c r="K542" t="s">
        <v>155</v>
      </c>
      <c r="L542">
        <v>32</v>
      </c>
      <c r="M542" t="s">
        <v>78</v>
      </c>
      <c r="N542">
        <v>24000</v>
      </c>
      <c r="O542">
        <v>6</v>
      </c>
      <c r="P542">
        <v>144000</v>
      </c>
      <c r="Q542">
        <v>69.78</v>
      </c>
      <c r="R542" t="s">
        <v>29</v>
      </c>
      <c r="S542" t="s">
        <v>38</v>
      </c>
      <c r="T542">
        <f t="shared" si="34"/>
        <v>144000</v>
      </c>
      <c r="U542" t="str">
        <f t="shared" si="35"/>
        <v>24+ Months</v>
      </c>
    </row>
    <row r="543" spans="1:21">
      <c r="A543" t="s">
        <v>874</v>
      </c>
      <c r="B543" t="s">
        <v>214</v>
      </c>
      <c r="C543" s="2" t="s">
        <v>570</v>
      </c>
      <c r="D543" s="2" t="str">
        <f t="shared" si="32"/>
        <v>Zina Gallegos</v>
      </c>
      <c r="E543">
        <v>31</v>
      </c>
      <c r="F543" s="3" t="str">
        <f t="shared" si="33"/>
        <v>30-39</v>
      </c>
      <c r="G543" t="s">
        <v>96</v>
      </c>
      <c r="H543" t="s">
        <v>51</v>
      </c>
      <c r="I543" t="s">
        <v>36</v>
      </c>
      <c r="J543">
        <v>1</v>
      </c>
      <c r="K543" t="s">
        <v>44</v>
      </c>
      <c r="L543">
        <v>21</v>
      </c>
      <c r="M543" t="s">
        <v>82</v>
      </c>
      <c r="N543">
        <v>30000</v>
      </c>
      <c r="O543">
        <v>9</v>
      </c>
      <c r="P543">
        <v>270000</v>
      </c>
      <c r="Q543">
        <v>122.75</v>
      </c>
      <c r="R543" t="s">
        <v>46</v>
      </c>
      <c r="S543" t="s">
        <v>47</v>
      </c>
      <c r="T543">
        <f t="shared" si="34"/>
        <v>0</v>
      </c>
      <c r="U543" t="str">
        <f t="shared" si="35"/>
        <v>13-24 Months</v>
      </c>
    </row>
    <row r="544" spans="1:21">
      <c r="A544" t="s">
        <v>875</v>
      </c>
      <c r="B544" t="s">
        <v>214</v>
      </c>
      <c r="C544" s="2" t="s">
        <v>570</v>
      </c>
      <c r="D544" s="2" t="str">
        <f t="shared" si="32"/>
        <v>Zina Gallegos</v>
      </c>
      <c r="E544">
        <v>31</v>
      </c>
      <c r="F544" s="3" t="str">
        <f t="shared" si="33"/>
        <v>30-39</v>
      </c>
      <c r="G544" t="s">
        <v>96</v>
      </c>
      <c r="H544" t="s">
        <v>35</v>
      </c>
      <c r="I544" t="s">
        <v>36</v>
      </c>
      <c r="J544">
        <v>1</v>
      </c>
      <c r="K544" t="s">
        <v>44</v>
      </c>
      <c r="L544">
        <v>21</v>
      </c>
      <c r="M544" t="s">
        <v>57</v>
      </c>
      <c r="N544">
        <v>4500</v>
      </c>
      <c r="O544">
        <v>8</v>
      </c>
      <c r="P544">
        <v>36000</v>
      </c>
      <c r="Q544">
        <v>109.94</v>
      </c>
      <c r="R544" t="s">
        <v>46</v>
      </c>
      <c r="S544" t="s">
        <v>47</v>
      </c>
      <c r="T544">
        <f t="shared" si="34"/>
        <v>0</v>
      </c>
      <c r="U544" t="str">
        <f t="shared" si="35"/>
        <v>13-24 Months</v>
      </c>
    </row>
    <row r="545" spans="1:21" hidden="1">
      <c r="A545" t="s">
        <v>876</v>
      </c>
      <c r="B545" t="s">
        <v>32</v>
      </c>
      <c r="C545" s="2" t="s">
        <v>425</v>
      </c>
      <c r="D545" s="2" t="str">
        <f t="shared" si="32"/>
        <v>Zainab Rogers</v>
      </c>
      <c r="E545">
        <v>76</v>
      </c>
      <c r="F545" s="3" t="str">
        <f t="shared" si="33"/>
        <v>70-79</v>
      </c>
      <c r="G545" t="s">
        <v>216</v>
      </c>
      <c r="H545" t="s">
        <v>43</v>
      </c>
      <c r="I545" t="s">
        <v>36</v>
      </c>
      <c r="J545">
        <v>4</v>
      </c>
      <c r="K545" t="s">
        <v>155</v>
      </c>
      <c r="L545">
        <v>12</v>
      </c>
      <c r="M545" t="s">
        <v>78</v>
      </c>
      <c r="N545">
        <v>24000</v>
      </c>
      <c r="O545">
        <v>19</v>
      </c>
      <c r="P545">
        <v>456000</v>
      </c>
      <c r="Q545">
        <v>90.42</v>
      </c>
      <c r="R545" t="s">
        <v>29</v>
      </c>
      <c r="S545" t="s">
        <v>393</v>
      </c>
      <c r="T545">
        <f t="shared" si="34"/>
        <v>456000</v>
      </c>
      <c r="U545" t="str">
        <f t="shared" si="35"/>
        <v>7-12 Months</v>
      </c>
    </row>
    <row r="546" spans="1:21" hidden="1">
      <c r="A546" t="s">
        <v>877</v>
      </c>
      <c r="B546" t="s">
        <v>32</v>
      </c>
      <c r="C546" s="2" t="s">
        <v>425</v>
      </c>
      <c r="D546" s="2" t="str">
        <f t="shared" si="32"/>
        <v>Zainab Rogers</v>
      </c>
      <c r="E546">
        <v>76</v>
      </c>
      <c r="F546" s="3" t="str">
        <f t="shared" si="33"/>
        <v>70-79</v>
      </c>
      <c r="G546" t="s">
        <v>216</v>
      </c>
      <c r="H546" t="s">
        <v>25</v>
      </c>
      <c r="I546" t="s">
        <v>36</v>
      </c>
      <c r="J546">
        <v>4</v>
      </c>
      <c r="K546" t="s">
        <v>155</v>
      </c>
      <c r="L546">
        <v>12</v>
      </c>
      <c r="M546" t="s">
        <v>57</v>
      </c>
      <c r="N546">
        <v>4500</v>
      </c>
      <c r="O546">
        <v>8</v>
      </c>
      <c r="P546">
        <v>36000</v>
      </c>
      <c r="Q546">
        <v>195.86</v>
      </c>
      <c r="R546" t="s">
        <v>29</v>
      </c>
      <c r="S546" t="s">
        <v>393</v>
      </c>
      <c r="T546">
        <f t="shared" si="34"/>
        <v>36000</v>
      </c>
      <c r="U546" t="str">
        <f t="shared" si="35"/>
        <v>7-12 Months</v>
      </c>
    </row>
    <row r="547" spans="1:21" hidden="1">
      <c r="A547" t="s">
        <v>878</v>
      </c>
      <c r="B547" t="s">
        <v>22</v>
      </c>
      <c r="C547" s="2" t="s">
        <v>660</v>
      </c>
      <c r="D547" s="2" t="str">
        <f t="shared" si="32"/>
        <v>Ngozi Dunn</v>
      </c>
      <c r="E547">
        <v>50</v>
      </c>
      <c r="F547" s="3" t="str">
        <f t="shared" si="33"/>
        <v>50-59</v>
      </c>
      <c r="G547" t="s">
        <v>89</v>
      </c>
      <c r="H547" t="s">
        <v>35</v>
      </c>
      <c r="I547" t="s">
        <v>36</v>
      </c>
      <c r="J547">
        <v>2</v>
      </c>
      <c r="K547" t="s">
        <v>27</v>
      </c>
      <c r="L547">
        <v>55</v>
      </c>
      <c r="M547" t="s">
        <v>137</v>
      </c>
      <c r="N547">
        <v>900</v>
      </c>
      <c r="O547">
        <v>16</v>
      </c>
      <c r="P547">
        <v>14400</v>
      </c>
      <c r="Q547">
        <v>35.729999999999997</v>
      </c>
      <c r="R547" t="s">
        <v>29</v>
      </c>
      <c r="S547" t="s">
        <v>393</v>
      </c>
      <c r="T547">
        <f t="shared" si="34"/>
        <v>14400</v>
      </c>
      <c r="U547" t="str">
        <f t="shared" si="35"/>
        <v>24+ Months</v>
      </c>
    </row>
    <row r="548" spans="1:21" hidden="1">
      <c r="A548" t="s">
        <v>879</v>
      </c>
      <c r="B548" t="s">
        <v>140</v>
      </c>
      <c r="C548" s="2" t="s">
        <v>158</v>
      </c>
      <c r="D548" s="2" t="str">
        <f t="shared" si="32"/>
        <v>Amaka Johnson</v>
      </c>
      <c r="E548">
        <v>56</v>
      </c>
      <c r="F548" s="3" t="str">
        <f t="shared" si="33"/>
        <v>50-59</v>
      </c>
      <c r="G548" t="s">
        <v>117</v>
      </c>
      <c r="H548" t="s">
        <v>25</v>
      </c>
      <c r="I548" t="s">
        <v>36</v>
      </c>
      <c r="J548">
        <v>4</v>
      </c>
      <c r="K548" t="s">
        <v>155</v>
      </c>
      <c r="L548">
        <v>17</v>
      </c>
      <c r="M548" t="s">
        <v>63</v>
      </c>
      <c r="N548">
        <v>9000</v>
      </c>
      <c r="O548">
        <v>4</v>
      </c>
      <c r="P548">
        <v>36000</v>
      </c>
      <c r="Q548">
        <v>95.57</v>
      </c>
      <c r="R548" t="s">
        <v>29</v>
      </c>
      <c r="S548" t="s">
        <v>362</v>
      </c>
      <c r="T548">
        <f t="shared" si="34"/>
        <v>36000</v>
      </c>
      <c r="U548" t="str">
        <f t="shared" si="35"/>
        <v>13-24 Months</v>
      </c>
    </row>
    <row r="549" spans="1:21" hidden="1">
      <c r="A549" t="s">
        <v>880</v>
      </c>
      <c r="B549" t="s">
        <v>182</v>
      </c>
      <c r="C549" s="2" t="s">
        <v>881</v>
      </c>
      <c r="D549" s="2" t="str">
        <f t="shared" si="32"/>
        <v>Alabo Carlson</v>
      </c>
      <c r="E549">
        <v>58</v>
      </c>
      <c r="F549" s="3" t="str">
        <f t="shared" si="33"/>
        <v>50-59</v>
      </c>
      <c r="G549" t="s">
        <v>197</v>
      </c>
      <c r="H549" t="s">
        <v>35</v>
      </c>
      <c r="I549" t="s">
        <v>36</v>
      </c>
      <c r="J549">
        <v>3</v>
      </c>
      <c r="K549" t="s">
        <v>62</v>
      </c>
      <c r="L549">
        <v>24</v>
      </c>
      <c r="M549" t="s">
        <v>57</v>
      </c>
      <c r="N549">
        <v>4500</v>
      </c>
      <c r="O549">
        <v>10</v>
      </c>
      <c r="P549">
        <v>45000</v>
      </c>
      <c r="Q549">
        <v>195.88</v>
      </c>
      <c r="R549" t="s">
        <v>29</v>
      </c>
      <c r="S549" t="s">
        <v>97</v>
      </c>
      <c r="T549">
        <f t="shared" si="34"/>
        <v>45000</v>
      </c>
      <c r="U549" t="str">
        <f t="shared" si="35"/>
        <v>13-24 Months</v>
      </c>
    </row>
    <row r="550" spans="1:21" hidden="1">
      <c r="A550" t="s">
        <v>882</v>
      </c>
      <c r="B550" t="s">
        <v>182</v>
      </c>
      <c r="C550" s="2" t="s">
        <v>881</v>
      </c>
      <c r="D550" s="2" t="str">
        <f t="shared" si="32"/>
        <v>Alabo Carlson</v>
      </c>
      <c r="E550">
        <v>58</v>
      </c>
      <c r="F550" s="3" t="str">
        <f t="shared" si="33"/>
        <v>50-59</v>
      </c>
      <c r="G550" t="s">
        <v>197</v>
      </c>
      <c r="H550" t="s">
        <v>43</v>
      </c>
      <c r="I550" t="s">
        <v>36</v>
      </c>
      <c r="J550">
        <v>3</v>
      </c>
      <c r="K550" t="s">
        <v>62</v>
      </c>
      <c r="L550">
        <v>24</v>
      </c>
      <c r="M550" t="s">
        <v>156</v>
      </c>
      <c r="N550">
        <v>25000</v>
      </c>
      <c r="O550">
        <v>17</v>
      </c>
      <c r="P550">
        <v>425000</v>
      </c>
      <c r="Q550">
        <v>65.36</v>
      </c>
      <c r="R550" t="s">
        <v>29</v>
      </c>
      <c r="S550" t="s">
        <v>97</v>
      </c>
      <c r="T550">
        <f t="shared" si="34"/>
        <v>425000</v>
      </c>
      <c r="U550" t="str">
        <f t="shared" si="35"/>
        <v>13-24 Months</v>
      </c>
    </row>
    <row r="551" spans="1:21">
      <c r="A551" t="s">
        <v>883</v>
      </c>
      <c r="B551" t="s">
        <v>232</v>
      </c>
      <c r="C551" s="2" t="s">
        <v>884</v>
      </c>
      <c r="D551" s="2" t="str">
        <f t="shared" si="32"/>
        <v>Grace Brock</v>
      </c>
      <c r="E551">
        <v>73</v>
      </c>
      <c r="F551" s="3" t="str">
        <f t="shared" si="33"/>
        <v>70-79</v>
      </c>
      <c r="G551" t="s">
        <v>415</v>
      </c>
      <c r="H551" t="s">
        <v>25</v>
      </c>
      <c r="I551" t="s">
        <v>36</v>
      </c>
      <c r="J551">
        <v>4</v>
      </c>
      <c r="K551" t="s">
        <v>155</v>
      </c>
      <c r="L551">
        <v>40</v>
      </c>
      <c r="M551" t="s">
        <v>63</v>
      </c>
      <c r="N551">
        <v>9000</v>
      </c>
      <c r="O551">
        <v>20</v>
      </c>
      <c r="P551">
        <v>180000</v>
      </c>
      <c r="Q551">
        <v>84.65</v>
      </c>
      <c r="R551" t="s">
        <v>46</v>
      </c>
      <c r="S551" t="s">
        <v>47</v>
      </c>
      <c r="T551">
        <f t="shared" si="34"/>
        <v>0</v>
      </c>
      <c r="U551" t="str">
        <f t="shared" si="35"/>
        <v>24+ Months</v>
      </c>
    </row>
    <row r="552" spans="1:21">
      <c r="A552" t="s">
        <v>885</v>
      </c>
      <c r="B552" t="s">
        <v>65</v>
      </c>
      <c r="C552" s="2" t="s">
        <v>342</v>
      </c>
      <c r="D552" s="2" t="str">
        <f t="shared" si="32"/>
        <v>Tamuno Ortiz</v>
      </c>
      <c r="E552">
        <v>25</v>
      </c>
      <c r="F552" s="3" t="str">
        <f t="shared" si="33"/>
        <v>20-29</v>
      </c>
      <c r="G552" t="s">
        <v>415</v>
      </c>
      <c r="H552" t="s">
        <v>43</v>
      </c>
      <c r="I552" t="s">
        <v>26</v>
      </c>
      <c r="J552">
        <v>3</v>
      </c>
      <c r="K552" t="s">
        <v>62</v>
      </c>
      <c r="L552">
        <v>22</v>
      </c>
      <c r="M552" t="s">
        <v>143</v>
      </c>
      <c r="N552">
        <v>75000</v>
      </c>
      <c r="O552">
        <v>15</v>
      </c>
      <c r="P552">
        <v>1125000</v>
      </c>
      <c r="Q552">
        <v>54.61</v>
      </c>
      <c r="R552" t="s">
        <v>46</v>
      </c>
      <c r="S552" t="s">
        <v>47</v>
      </c>
      <c r="T552">
        <f t="shared" si="34"/>
        <v>0</v>
      </c>
      <c r="U552" t="str">
        <f t="shared" si="35"/>
        <v>13-24 Months</v>
      </c>
    </row>
    <row r="553" spans="1:21">
      <c r="A553" t="s">
        <v>886</v>
      </c>
      <c r="B553" t="s">
        <v>65</v>
      </c>
      <c r="C553" s="2" t="s">
        <v>342</v>
      </c>
      <c r="D553" s="2" t="str">
        <f t="shared" si="32"/>
        <v>Tamuno Ortiz</v>
      </c>
      <c r="E553">
        <v>25</v>
      </c>
      <c r="F553" s="3" t="str">
        <f t="shared" si="33"/>
        <v>20-29</v>
      </c>
      <c r="G553" t="s">
        <v>415</v>
      </c>
      <c r="H553" t="s">
        <v>35</v>
      </c>
      <c r="I553" t="s">
        <v>26</v>
      </c>
      <c r="J553">
        <v>3</v>
      </c>
      <c r="K553" t="s">
        <v>62</v>
      </c>
      <c r="L553">
        <v>22</v>
      </c>
      <c r="M553" t="s">
        <v>69</v>
      </c>
      <c r="N553">
        <v>3500</v>
      </c>
      <c r="O553">
        <v>17</v>
      </c>
      <c r="P553">
        <v>59500</v>
      </c>
      <c r="Q553">
        <v>149.71</v>
      </c>
      <c r="R553" t="s">
        <v>46</v>
      </c>
      <c r="S553" t="s">
        <v>47</v>
      </c>
      <c r="T553">
        <f t="shared" si="34"/>
        <v>0</v>
      </c>
      <c r="U553" t="str">
        <f t="shared" si="35"/>
        <v>13-24 Months</v>
      </c>
    </row>
    <row r="554" spans="1:21">
      <c r="A554" t="s">
        <v>887</v>
      </c>
      <c r="B554" t="s">
        <v>182</v>
      </c>
      <c r="C554" s="2" t="s">
        <v>888</v>
      </c>
      <c r="D554" s="2" t="str">
        <f t="shared" si="32"/>
        <v>Alabo Chavez</v>
      </c>
      <c r="E554">
        <v>68</v>
      </c>
      <c r="F554" s="3" t="str">
        <f t="shared" si="33"/>
        <v>60-69</v>
      </c>
      <c r="G554" t="s">
        <v>34</v>
      </c>
      <c r="H554" t="s">
        <v>43</v>
      </c>
      <c r="I554" t="s">
        <v>26</v>
      </c>
      <c r="J554">
        <v>2</v>
      </c>
      <c r="K554" t="s">
        <v>27</v>
      </c>
      <c r="L554">
        <v>55</v>
      </c>
      <c r="M554" t="s">
        <v>91</v>
      </c>
      <c r="N554">
        <v>14500</v>
      </c>
      <c r="O554">
        <v>4</v>
      </c>
      <c r="P554">
        <v>58000</v>
      </c>
      <c r="Q554">
        <v>33.799999999999997</v>
      </c>
      <c r="R554" t="s">
        <v>46</v>
      </c>
      <c r="S554" t="s">
        <v>47</v>
      </c>
      <c r="T554">
        <f t="shared" si="34"/>
        <v>0</v>
      </c>
      <c r="U554" t="str">
        <f t="shared" si="35"/>
        <v>24+ Months</v>
      </c>
    </row>
    <row r="555" spans="1:21">
      <c r="A555" t="s">
        <v>889</v>
      </c>
      <c r="B555" t="s">
        <v>182</v>
      </c>
      <c r="C555" s="2" t="s">
        <v>888</v>
      </c>
      <c r="D555" s="2" t="str">
        <f t="shared" si="32"/>
        <v>Alabo Chavez</v>
      </c>
      <c r="E555">
        <v>68</v>
      </c>
      <c r="F555" s="3" t="str">
        <f t="shared" si="33"/>
        <v>60-69</v>
      </c>
      <c r="G555" t="s">
        <v>34</v>
      </c>
      <c r="H555" t="s">
        <v>35</v>
      </c>
      <c r="I555" t="s">
        <v>26</v>
      </c>
      <c r="J555">
        <v>2</v>
      </c>
      <c r="K555" t="s">
        <v>27</v>
      </c>
      <c r="L555">
        <v>55</v>
      </c>
      <c r="M555" t="s">
        <v>108</v>
      </c>
      <c r="N555">
        <v>1000</v>
      </c>
      <c r="O555">
        <v>16</v>
      </c>
      <c r="P555">
        <v>16000</v>
      </c>
      <c r="Q555">
        <v>13.23</v>
      </c>
      <c r="R555" t="s">
        <v>46</v>
      </c>
      <c r="S555" t="s">
        <v>47</v>
      </c>
      <c r="T555">
        <f t="shared" si="34"/>
        <v>0</v>
      </c>
      <c r="U555" t="str">
        <f t="shared" si="35"/>
        <v>24+ Months</v>
      </c>
    </row>
    <row r="556" spans="1:21">
      <c r="A556" t="s">
        <v>890</v>
      </c>
      <c r="B556" t="s">
        <v>182</v>
      </c>
      <c r="C556" s="2" t="s">
        <v>888</v>
      </c>
      <c r="D556" s="2" t="str">
        <f t="shared" si="32"/>
        <v>Alabo Chavez</v>
      </c>
      <c r="E556">
        <v>68</v>
      </c>
      <c r="F556" s="3" t="str">
        <f t="shared" si="33"/>
        <v>60-69</v>
      </c>
      <c r="G556" t="s">
        <v>34</v>
      </c>
      <c r="H556" t="s">
        <v>51</v>
      </c>
      <c r="I556" t="s">
        <v>26</v>
      </c>
      <c r="J556">
        <v>2</v>
      </c>
      <c r="K556" t="s">
        <v>27</v>
      </c>
      <c r="L556">
        <v>55</v>
      </c>
      <c r="M556" t="s">
        <v>78</v>
      </c>
      <c r="N556">
        <v>24000</v>
      </c>
      <c r="O556">
        <v>13</v>
      </c>
      <c r="P556">
        <v>312000</v>
      </c>
      <c r="Q556">
        <v>11.24</v>
      </c>
      <c r="R556" t="s">
        <v>46</v>
      </c>
      <c r="S556" t="s">
        <v>47</v>
      </c>
      <c r="T556">
        <f t="shared" si="34"/>
        <v>0</v>
      </c>
      <c r="U556" t="str">
        <f t="shared" si="35"/>
        <v>24+ Months</v>
      </c>
    </row>
    <row r="557" spans="1:21">
      <c r="A557" t="s">
        <v>891</v>
      </c>
      <c r="B557" t="s">
        <v>385</v>
      </c>
      <c r="C557" s="2" t="s">
        <v>892</v>
      </c>
      <c r="D557" s="2" t="str">
        <f t="shared" si="32"/>
        <v>Sarah Ballard</v>
      </c>
      <c r="E557">
        <v>26</v>
      </c>
      <c r="F557" s="3" t="str">
        <f t="shared" si="33"/>
        <v>20-29</v>
      </c>
      <c r="G557" t="s">
        <v>128</v>
      </c>
      <c r="H557" t="s">
        <v>43</v>
      </c>
      <c r="I557" t="s">
        <v>36</v>
      </c>
      <c r="J557">
        <v>1</v>
      </c>
      <c r="K557" t="s">
        <v>44</v>
      </c>
      <c r="L557">
        <v>40</v>
      </c>
      <c r="M557" t="s">
        <v>91</v>
      </c>
      <c r="N557">
        <v>14500</v>
      </c>
      <c r="O557">
        <v>15</v>
      </c>
      <c r="P557">
        <v>217500</v>
      </c>
      <c r="Q557">
        <v>147.65</v>
      </c>
      <c r="R557" t="s">
        <v>46</v>
      </c>
      <c r="S557" t="s">
        <v>47</v>
      </c>
      <c r="T557">
        <f t="shared" si="34"/>
        <v>0</v>
      </c>
      <c r="U557" t="str">
        <f t="shared" si="35"/>
        <v>24+ Months</v>
      </c>
    </row>
    <row r="558" spans="1:21">
      <c r="A558" t="s">
        <v>893</v>
      </c>
      <c r="B558" t="s">
        <v>385</v>
      </c>
      <c r="C558" s="2" t="s">
        <v>892</v>
      </c>
      <c r="D558" s="2" t="str">
        <f t="shared" si="32"/>
        <v>Sarah Ballard</v>
      </c>
      <c r="E558">
        <v>26</v>
      </c>
      <c r="F558" s="3" t="str">
        <f t="shared" si="33"/>
        <v>20-29</v>
      </c>
      <c r="G558" t="s">
        <v>128</v>
      </c>
      <c r="H558" t="s">
        <v>51</v>
      </c>
      <c r="I558" t="s">
        <v>36</v>
      </c>
      <c r="J558">
        <v>1</v>
      </c>
      <c r="K558" t="s">
        <v>44</v>
      </c>
      <c r="L558">
        <v>40</v>
      </c>
      <c r="M558" t="s">
        <v>45</v>
      </c>
      <c r="N558">
        <v>20000</v>
      </c>
      <c r="O558">
        <v>6</v>
      </c>
      <c r="P558">
        <v>120000</v>
      </c>
      <c r="Q558">
        <v>26.69</v>
      </c>
      <c r="R558" t="s">
        <v>46</v>
      </c>
      <c r="S558" t="s">
        <v>47</v>
      </c>
      <c r="T558">
        <f t="shared" si="34"/>
        <v>0</v>
      </c>
      <c r="U558" t="str">
        <f t="shared" si="35"/>
        <v>24+ Months</v>
      </c>
    </row>
    <row r="559" spans="1:21">
      <c r="A559" t="s">
        <v>894</v>
      </c>
      <c r="B559" t="s">
        <v>490</v>
      </c>
      <c r="C559" s="2" t="s">
        <v>895</v>
      </c>
      <c r="D559" s="2" t="str">
        <f t="shared" si="32"/>
        <v>Funke Shaffer</v>
      </c>
      <c r="E559">
        <v>20</v>
      </c>
      <c r="F559" s="3" t="str">
        <f t="shared" si="33"/>
        <v>20-29</v>
      </c>
      <c r="G559" t="s">
        <v>210</v>
      </c>
      <c r="H559" t="s">
        <v>43</v>
      </c>
      <c r="I559" t="s">
        <v>36</v>
      </c>
      <c r="J559">
        <v>4</v>
      </c>
      <c r="K559" t="s">
        <v>155</v>
      </c>
      <c r="L559">
        <v>56</v>
      </c>
      <c r="M559" t="s">
        <v>82</v>
      </c>
      <c r="N559">
        <v>30000</v>
      </c>
      <c r="O559">
        <v>18</v>
      </c>
      <c r="P559">
        <v>540000</v>
      </c>
      <c r="Q559">
        <v>193.92</v>
      </c>
      <c r="R559" t="s">
        <v>46</v>
      </c>
      <c r="S559" t="s">
        <v>47</v>
      </c>
      <c r="T559">
        <f t="shared" si="34"/>
        <v>0</v>
      </c>
      <c r="U559" t="str">
        <f t="shared" si="35"/>
        <v>24+ Months</v>
      </c>
    </row>
    <row r="560" spans="1:21">
      <c r="A560" t="s">
        <v>896</v>
      </c>
      <c r="B560" t="s">
        <v>490</v>
      </c>
      <c r="C560" s="2" t="s">
        <v>895</v>
      </c>
      <c r="D560" s="2" t="str">
        <f t="shared" si="32"/>
        <v>Funke Shaffer</v>
      </c>
      <c r="E560">
        <v>20</v>
      </c>
      <c r="F560" s="3" t="str">
        <f t="shared" si="33"/>
        <v>20-29</v>
      </c>
      <c r="G560" t="s">
        <v>210</v>
      </c>
      <c r="H560" t="s">
        <v>35</v>
      </c>
      <c r="I560" t="s">
        <v>36</v>
      </c>
      <c r="J560">
        <v>4</v>
      </c>
      <c r="K560" t="s">
        <v>155</v>
      </c>
      <c r="L560">
        <v>56</v>
      </c>
      <c r="M560" t="s">
        <v>227</v>
      </c>
      <c r="N560">
        <v>600</v>
      </c>
      <c r="O560">
        <v>15</v>
      </c>
      <c r="P560">
        <v>9000</v>
      </c>
      <c r="Q560">
        <v>118.37</v>
      </c>
      <c r="R560" t="s">
        <v>46</v>
      </c>
      <c r="S560" t="s">
        <v>47</v>
      </c>
      <c r="T560">
        <f t="shared" si="34"/>
        <v>0</v>
      </c>
      <c r="U560" t="str">
        <f t="shared" si="35"/>
        <v>24+ Months</v>
      </c>
    </row>
    <row r="561" spans="1:21">
      <c r="A561" t="s">
        <v>897</v>
      </c>
      <c r="B561" t="s">
        <v>490</v>
      </c>
      <c r="C561" s="2" t="s">
        <v>895</v>
      </c>
      <c r="D561" s="2" t="str">
        <f t="shared" si="32"/>
        <v>Funke Shaffer</v>
      </c>
      <c r="E561">
        <v>20</v>
      </c>
      <c r="F561" s="3" t="str">
        <f t="shared" si="33"/>
        <v>20-29</v>
      </c>
      <c r="G561" t="s">
        <v>210</v>
      </c>
      <c r="H561" t="s">
        <v>25</v>
      </c>
      <c r="I561" t="s">
        <v>36</v>
      </c>
      <c r="J561">
        <v>4</v>
      </c>
      <c r="K561" t="s">
        <v>155</v>
      </c>
      <c r="L561">
        <v>56</v>
      </c>
      <c r="M561" t="s">
        <v>28</v>
      </c>
      <c r="N561">
        <v>35000</v>
      </c>
      <c r="O561">
        <v>18</v>
      </c>
      <c r="P561">
        <v>630000</v>
      </c>
      <c r="Q561">
        <v>104.93</v>
      </c>
      <c r="R561" t="s">
        <v>46</v>
      </c>
      <c r="S561" t="s">
        <v>47</v>
      </c>
      <c r="T561">
        <f t="shared" si="34"/>
        <v>0</v>
      </c>
      <c r="U561" t="str">
        <f t="shared" si="35"/>
        <v>24+ Months</v>
      </c>
    </row>
    <row r="562" spans="1:21">
      <c r="A562" t="s">
        <v>898</v>
      </c>
      <c r="B562" t="s">
        <v>169</v>
      </c>
      <c r="C562" s="2" t="s">
        <v>899</v>
      </c>
      <c r="D562" s="2" t="str">
        <f t="shared" si="32"/>
        <v>Maryam Gates</v>
      </c>
      <c r="E562">
        <v>60</v>
      </c>
      <c r="F562" s="3" t="str">
        <f t="shared" si="33"/>
        <v>60-69</v>
      </c>
      <c r="G562" t="s">
        <v>292</v>
      </c>
      <c r="H562" t="s">
        <v>43</v>
      </c>
      <c r="I562" t="s">
        <v>26</v>
      </c>
      <c r="J562">
        <v>4</v>
      </c>
      <c r="K562" t="s">
        <v>155</v>
      </c>
      <c r="L562">
        <v>52</v>
      </c>
      <c r="M562" t="s">
        <v>78</v>
      </c>
      <c r="N562">
        <v>24000</v>
      </c>
      <c r="O562">
        <v>17</v>
      </c>
      <c r="P562">
        <v>408000</v>
      </c>
      <c r="Q562">
        <v>2.61</v>
      </c>
      <c r="R562" t="s">
        <v>46</v>
      </c>
      <c r="S562" t="s">
        <v>47</v>
      </c>
      <c r="T562">
        <f t="shared" si="34"/>
        <v>0</v>
      </c>
      <c r="U562" t="str">
        <f t="shared" si="35"/>
        <v>24+ Months</v>
      </c>
    </row>
    <row r="563" spans="1:21">
      <c r="A563" t="s">
        <v>900</v>
      </c>
      <c r="B563" t="s">
        <v>169</v>
      </c>
      <c r="C563" s="2" t="s">
        <v>899</v>
      </c>
      <c r="D563" s="2" t="str">
        <f t="shared" si="32"/>
        <v>Maryam Gates</v>
      </c>
      <c r="E563">
        <v>60</v>
      </c>
      <c r="F563" s="3" t="str">
        <f t="shared" si="33"/>
        <v>60-69</v>
      </c>
      <c r="G563" t="s">
        <v>292</v>
      </c>
      <c r="H563" t="s">
        <v>51</v>
      </c>
      <c r="I563" t="s">
        <v>26</v>
      </c>
      <c r="J563">
        <v>4</v>
      </c>
      <c r="K563" t="s">
        <v>155</v>
      </c>
      <c r="L563">
        <v>52</v>
      </c>
      <c r="M563" t="s">
        <v>45</v>
      </c>
      <c r="N563">
        <v>20000</v>
      </c>
      <c r="O563">
        <v>16</v>
      </c>
      <c r="P563">
        <v>320000</v>
      </c>
      <c r="Q563">
        <v>69.11</v>
      </c>
      <c r="R563" t="s">
        <v>46</v>
      </c>
      <c r="S563" t="s">
        <v>47</v>
      </c>
      <c r="T563">
        <f t="shared" si="34"/>
        <v>0</v>
      </c>
      <c r="U563" t="str">
        <f t="shared" si="35"/>
        <v>24+ Months</v>
      </c>
    </row>
    <row r="564" spans="1:21">
      <c r="A564" t="s">
        <v>901</v>
      </c>
      <c r="B564" t="s">
        <v>131</v>
      </c>
      <c r="C564" s="2" t="s">
        <v>902</v>
      </c>
      <c r="D564" s="2" t="str">
        <f t="shared" si="32"/>
        <v>David George</v>
      </c>
      <c r="E564">
        <v>17</v>
      </c>
      <c r="F564" s="3" t="str">
        <f t="shared" si="33"/>
        <v>10-19</v>
      </c>
      <c r="G564" t="s">
        <v>117</v>
      </c>
      <c r="H564" t="s">
        <v>25</v>
      </c>
      <c r="I564" t="s">
        <v>36</v>
      </c>
      <c r="J564">
        <v>4</v>
      </c>
      <c r="K564" t="s">
        <v>155</v>
      </c>
      <c r="L564">
        <v>20</v>
      </c>
      <c r="M564" t="s">
        <v>57</v>
      </c>
      <c r="N564">
        <v>4500</v>
      </c>
      <c r="O564">
        <v>18</v>
      </c>
      <c r="P564">
        <v>81000</v>
      </c>
      <c r="Q564">
        <v>82.64</v>
      </c>
      <c r="R564" t="s">
        <v>46</v>
      </c>
      <c r="S564" t="s">
        <v>47</v>
      </c>
      <c r="T564">
        <f t="shared" si="34"/>
        <v>0</v>
      </c>
      <c r="U564" t="str">
        <f t="shared" si="35"/>
        <v>13-24 Months</v>
      </c>
    </row>
    <row r="565" spans="1:21">
      <c r="A565" t="s">
        <v>903</v>
      </c>
      <c r="B565" t="s">
        <v>131</v>
      </c>
      <c r="C565" s="2" t="s">
        <v>902</v>
      </c>
      <c r="D565" s="2" t="str">
        <f t="shared" si="32"/>
        <v>David George</v>
      </c>
      <c r="E565">
        <v>17</v>
      </c>
      <c r="F565" s="3" t="str">
        <f t="shared" si="33"/>
        <v>10-19</v>
      </c>
      <c r="G565" t="s">
        <v>117</v>
      </c>
      <c r="H565" t="s">
        <v>35</v>
      </c>
      <c r="I565" t="s">
        <v>36</v>
      </c>
      <c r="J565">
        <v>4</v>
      </c>
      <c r="K565" t="s">
        <v>155</v>
      </c>
      <c r="L565">
        <v>20</v>
      </c>
      <c r="M565" t="s">
        <v>37</v>
      </c>
      <c r="N565">
        <v>5500</v>
      </c>
      <c r="O565">
        <v>6</v>
      </c>
      <c r="P565">
        <v>33000</v>
      </c>
      <c r="Q565">
        <v>79.25</v>
      </c>
      <c r="R565" t="s">
        <v>46</v>
      </c>
      <c r="S565" t="s">
        <v>47</v>
      </c>
      <c r="T565">
        <f t="shared" si="34"/>
        <v>0</v>
      </c>
      <c r="U565" t="str">
        <f t="shared" si="35"/>
        <v>13-24 Months</v>
      </c>
    </row>
    <row r="566" spans="1:21">
      <c r="A566" t="s">
        <v>904</v>
      </c>
      <c r="B566" t="s">
        <v>358</v>
      </c>
      <c r="C566" s="2" t="s">
        <v>905</v>
      </c>
      <c r="D566" s="2" t="str">
        <f t="shared" si="32"/>
        <v>Omamuzo Rivera</v>
      </c>
      <c r="E566">
        <v>64</v>
      </c>
      <c r="F566" s="3" t="str">
        <f t="shared" si="33"/>
        <v>60-69</v>
      </c>
      <c r="G566" t="s">
        <v>154</v>
      </c>
      <c r="H566" t="s">
        <v>43</v>
      </c>
      <c r="I566" t="s">
        <v>36</v>
      </c>
      <c r="J566">
        <v>2</v>
      </c>
      <c r="K566" t="s">
        <v>27</v>
      </c>
      <c r="L566">
        <v>6</v>
      </c>
      <c r="M566" t="s">
        <v>143</v>
      </c>
      <c r="N566">
        <v>75000</v>
      </c>
      <c r="O566">
        <v>3</v>
      </c>
      <c r="P566">
        <v>225000</v>
      </c>
      <c r="Q566">
        <v>38.01</v>
      </c>
      <c r="R566" t="s">
        <v>46</v>
      </c>
      <c r="S566" t="s">
        <v>47</v>
      </c>
      <c r="T566">
        <f t="shared" si="34"/>
        <v>0</v>
      </c>
      <c r="U566" t="str">
        <f t="shared" si="35"/>
        <v>0-6 Months</v>
      </c>
    </row>
    <row r="567" spans="1:21">
      <c r="A567" t="s">
        <v>906</v>
      </c>
      <c r="B567" t="s">
        <v>358</v>
      </c>
      <c r="C567" s="2" t="s">
        <v>905</v>
      </c>
      <c r="D567" s="2" t="str">
        <f t="shared" si="32"/>
        <v>Omamuzo Rivera</v>
      </c>
      <c r="E567">
        <v>64</v>
      </c>
      <c r="F567" s="3" t="str">
        <f t="shared" si="33"/>
        <v>60-69</v>
      </c>
      <c r="G567" t="s">
        <v>154</v>
      </c>
      <c r="H567" t="s">
        <v>25</v>
      </c>
      <c r="I567" t="s">
        <v>36</v>
      </c>
      <c r="J567">
        <v>2</v>
      </c>
      <c r="K567" t="s">
        <v>27</v>
      </c>
      <c r="L567">
        <v>6</v>
      </c>
      <c r="M567" t="s">
        <v>57</v>
      </c>
      <c r="N567">
        <v>4500</v>
      </c>
      <c r="O567">
        <v>4</v>
      </c>
      <c r="P567">
        <v>18000</v>
      </c>
      <c r="Q567">
        <v>27.76</v>
      </c>
      <c r="R567" t="s">
        <v>46</v>
      </c>
      <c r="S567" t="s">
        <v>47</v>
      </c>
      <c r="T567">
        <f t="shared" si="34"/>
        <v>0</v>
      </c>
      <c r="U567" t="str">
        <f t="shared" si="35"/>
        <v>0-6 Months</v>
      </c>
    </row>
    <row r="568" spans="1:21">
      <c r="A568" t="s">
        <v>907</v>
      </c>
      <c r="B568" t="s">
        <v>358</v>
      </c>
      <c r="C568" s="2" t="s">
        <v>905</v>
      </c>
      <c r="D568" s="2" t="str">
        <f t="shared" si="32"/>
        <v>Omamuzo Rivera</v>
      </c>
      <c r="E568">
        <v>64</v>
      </c>
      <c r="F568" s="3" t="str">
        <f t="shared" si="33"/>
        <v>60-69</v>
      </c>
      <c r="G568" t="s">
        <v>154</v>
      </c>
      <c r="H568" t="s">
        <v>35</v>
      </c>
      <c r="I568" t="s">
        <v>36</v>
      </c>
      <c r="J568">
        <v>2</v>
      </c>
      <c r="K568" t="s">
        <v>27</v>
      </c>
      <c r="L568">
        <v>6</v>
      </c>
      <c r="M568" t="s">
        <v>37</v>
      </c>
      <c r="N568">
        <v>5500</v>
      </c>
      <c r="O568">
        <v>9</v>
      </c>
      <c r="P568">
        <v>49500</v>
      </c>
      <c r="Q568">
        <v>123.74</v>
      </c>
      <c r="R568" t="s">
        <v>46</v>
      </c>
      <c r="S568" t="s">
        <v>47</v>
      </c>
      <c r="T568">
        <f t="shared" si="34"/>
        <v>0</v>
      </c>
      <c r="U568" t="str">
        <f t="shared" si="35"/>
        <v>0-6 Months</v>
      </c>
    </row>
    <row r="569" spans="1:21" hidden="1">
      <c r="A569" t="s">
        <v>908</v>
      </c>
      <c r="B569" t="s">
        <v>232</v>
      </c>
      <c r="C569" s="2" t="s">
        <v>909</v>
      </c>
      <c r="D569" s="2" t="str">
        <f t="shared" si="32"/>
        <v>Grace Chaney</v>
      </c>
      <c r="E569">
        <v>40</v>
      </c>
      <c r="F569" s="3" t="str">
        <f t="shared" si="33"/>
        <v>40-49</v>
      </c>
      <c r="G569" t="s">
        <v>353</v>
      </c>
      <c r="H569" t="s">
        <v>43</v>
      </c>
      <c r="I569" t="s">
        <v>26</v>
      </c>
      <c r="J569">
        <v>5</v>
      </c>
      <c r="K569" t="s">
        <v>68</v>
      </c>
      <c r="L569">
        <v>10</v>
      </c>
      <c r="M569" t="s">
        <v>71</v>
      </c>
      <c r="N569">
        <v>150000</v>
      </c>
      <c r="O569">
        <v>8</v>
      </c>
      <c r="P569">
        <v>1200000</v>
      </c>
      <c r="Q569">
        <v>145.56</v>
      </c>
      <c r="R569" t="s">
        <v>29</v>
      </c>
      <c r="S569" t="s">
        <v>97</v>
      </c>
      <c r="T569">
        <f t="shared" si="34"/>
        <v>1200000</v>
      </c>
      <c r="U569" t="str">
        <f t="shared" si="35"/>
        <v>7-12 Months</v>
      </c>
    </row>
    <row r="570" spans="1:21" hidden="1">
      <c r="A570" t="s">
        <v>910</v>
      </c>
      <c r="B570" t="s">
        <v>232</v>
      </c>
      <c r="C570" s="2" t="s">
        <v>909</v>
      </c>
      <c r="D570" s="2" t="str">
        <f t="shared" si="32"/>
        <v>Grace Chaney</v>
      </c>
      <c r="E570">
        <v>40</v>
      </c>
      <c r="F570" s="3" t="str">
        <f t="shared" si="33"/>
        <v>40-49</v>
      </c>
      <c r="G570" t="s">
        <v>353</v>
      </c>
      <c r="H570" t="s">
        <v>51</v>
      </c>
      <c r="I570" t="s">
        <v>26</v>
      </c>
      <c r="J570">
        <v>5</v>
      </c>
      <c r="K570" t="s">
        <v>68</v>
      </c>
      <c r="L570">
        <v>10</v>
      </c>
      <c r="M570" t="s">
        <v>52</v>
      </c>
      <c r="N570">
        <v>9000</v>
      </c>
      <c r="O570">
        <v>16</v>
      </c>
      <c r="P570">
        <v>144000</v>
      </c>
      <c r="Q570">
        <v>30.56</v>
      </c>
      <c r="R570" t="s">
        <v>29</v>
      </c>
      <c r="S570" t="s">
        <v>97</v>
      </c>
      <c r="T570">
        <f t="shared" si="34"/>
        <v>144000</v>
      </c>
      <c r="U570" t="str">
        <f t="shared" si="35"/>
        <v>7-12 Months</v>
      </c>
    </row>
    <row r="571" spans="1:21">
      <c r="A571" t="s">
        <v>911</v>
      </c>
      <c r="B571" t="s">
        <v>335</v>
      </c>
      <c r="C571" s="2" t="s">
        <v>523</v>
      </c>
      <c r="D571" s="2" t="str">
        <f t="shared" si="32"/>
        <v>Fatima Wheeler</v>
      </c>
      <c r="E571">
        <v>59</v>
      </c>
      <c r="F571" s="3" t="str">
        <f t="shared" si="33"/>
        <v>50-59</v>
      </c>
      <c r="G571" t="s">
        <v>151</v>
      </c>
      <c r="H571" t="s">
        <v>43</v>
      </c>
      <c r="I571" t="s">
        <v>36</v>
      </c>
      <c r="J571">
        <v>3</v>
      </c>
      <c r="K571" t="s">
        <v>62</v>
      </c>
      <c r="L571">
        <v>51</v>
      </c>
      <c r="M571" t="s">
        <v>45</v>
      </c>
      <c r="N571">
        <v>20000</v>
      </c>
      <c r="O571">
        <v>5</v>
      </c>
      <c r="P571">
        <v>100000</v>
      </c>
      <c r="Q571">
        <v>168.79</v>
      </c>
      <c r="R571" t="s">
        <v>46</v>
      </c>
      <c r="S571" t="s">
        <v>47</v>
      </c>
      <c r="T571">
        <f t="shared" si="34"/>
        <v>0</v>
      </c>
      <c r="U571" t="str">
        <f t="shared" si="35"/>
        <v>24+ Months</v>
      </c>
    </row>
    <row r="572" spans="1:21" hidden="1">
      <c r="A572" t="s">
        <v>912</v>
      </c>
      <c r="B572" t="s">
        <v>447</v>
      </c>
      <c r="C572" s="2" t="s">
        <v>913</v>
      </c>
      <c r="D572" s="2" t="str">
        <f t="shared" si="32"/>
        <v>Sade Ryan</v>
      </c>
      <c r="E572">
        <v>50</v>
      </c>
      <c r="F572" s="3" t="str">
        <f t="shared" si="33"/>
        <v>50-59</v>
      </c>
      <c r="G572" t="s">
        <v>106</v>
      </c>
      <c r="H572" t="s">
        <v>35</v>
      </c>
      <c r="I572" t="s">
        <v>26</v>
      </c>
      <c r="J572">
        <v>2</v>
      </c>
      <c r="K572" t="s">
        <v>27</v>
      </c>
      <c r="L572">
        <v>35</v>
      </c>
      <c r="M572" t="s">
        <v>108</v>
      </c>
      <c r="N572">
        <v>1000</v>
      </c>
      <c r="O572">
        <v>8</v>
      </c>
      <c r="P572">
        <v>8000</v>
      </c>
      <c r="Q572">
        <v>194.93</v>
      </c>
      <c r="R572" t="s">
        <v>29</v>
      </c>
      <c r="S572" t="s">
        <v>38</v>
      </c>
      <c r="T572">
        <f t="shared" si="34"/>
        <v>8000</v>
      </c>
      <c r="U572" t="str">
        <f t="shared" si="35"/>
        <v>24+ Months</v>
      </c>
    </row>
    <row r="573" spans="1:21" hidden="1">
      <c r="A573" t="s">
        <v>914</v>
      </c>
      <c r="B573" t="s">
        <v>447</v>
      </c>
      <c r="C573" s="2" t="s">
        <v>913</v>
      </c>
      <c r="D573" s="2" t="str">
        <f t="shared" si="32"/>
        <v>Sade Ryan</v>
      </c>
      <c r="E573">
        <v>50</v>
      </c>
      <c r="F573" s="3" t="str">
        <f t="shared" si="33"/>
        <v>50-59</v>
      </c>
      <c r="G573" t="s">
        <v>106</v>
      </c>
      <c r="H573" t="s">
        <v>51</v>
      </c>
      <c r="I573" t="s">
        <v>26</v>
      </c>
      <c r="J573">
        <v>2</v>
      </c>
      <c r="K573" t="s">
        <v>27</v>
      </c>
      <c r="L573">
        <v>35</v>
      </c>
      <c r="M573" t="s">
        <v>91</v>
      </c>
      <c r="N573">
        <v>14500</v>
      </c>
      <c r="O573">
        <v>15</v>
      </c>
      <c r="P573">
        <v>217500</v>
      </c>
      <c r="Q573">
        <v>154.36000000000001</v>
      </c>
      <c r="R573" t="s">
        <v>29</v>
      </c>
      <c r="S573" t="s">
        <v>38</v>
      </c>
      <c r="T573">
        <f t="shared" si="34"/>
        <v>217500</v>
      </c>
      <c r="U573" t="str">
        <f t="shared" si="35"/>
        <v>24+ Months</v>
      </c>
    </row>
    <row r="574" spans="1:21">
      <c r="A574" t="s">
        <v>915</v>
      </c>
      <c r="B574" t="s">
        <v>87</v>
      </c>
      <c r="C574" s="2" t="s">
        <v>916</v>
      </c>
      <c r="D574" s="2" t="str">
        <f t="shared" si="32"/>
        <v>Halima Mahoney</v>
      </c>
      <c r="E574">
        <v>20</v>
      </c>
      <c r="F574" s="3" t="str">
        <f t="shared" si="33"/>
        <v>20-29</v>
      </c>
      <c r="G574" t="s">
        <v>162</v>
      </c>
      <c r="H574" t="s">
        <v>35</v>
      </c>
      <c r="I574" t="s">
        <v>36</v>
      </c>
      <c r="J574">
        <v>5</v>
      </c>
      <c r="K574" t="s">
        <v>68</v>
      </c>
      <c r="L574">
        <v>48</v>
      </c>
      <c r="M574" t="s">
        <v>113</v>
      </c>
      <c r="N574">
        <v>7500</v>
      </c>
      <c r="O574">
        <v>10</v>
      </c>
      <c r="P574">
        <v>75000</v>
      </c>
      <c r="Q574">
        <v>136.44999999999999</v>
      </c>
      <c r="R574" t="s">
        <v>46</v>
      </c>
      <c r="S574" t="s">
        <v>47</v>
      </c>
      <c r="T574">
        <f t="shared" si="34"/>
        <v>0</v>
      </c>
      <c r="U574" t="str">
        <f t="shared" si="35"/>
        <v>24+ Months</v>
      </c>
    </row>
    <row r="575" spans="1:21" hidden="1">
      <c r="A575" t="s">
        <v>917</v>
      </c>
      <c r="B575" t="s">
        <v>166</v>
      </c>
      <c r="C575" s="2" t="s">
        <v>427</v>
      </c>
      <c r="D575" s="2" t="str">
        <f t="shared" si="32"/>
        <v>Ese Rose</v>
      </c>
      <c r="E575">
        <v>36</v>
      </c>
      <c r="F575" s="3" t="str">
        <f t="shared" si="33"/>
        <v>30-39</v>
      </c>
      <c r="G575" t="s">
        <v>175</v>
      </c>
      <c r="H575" t="s">
        <v>25</v>
      </c>
      <c r="I575" t="s">
        <v>26</v>
      </c>
      <c r="J575">
        <v>3</v>
      </c>
      <c r="K575" t="s">
        <v>62</v>
      </c>
      <c r="L575">
        <v>17</v>
      </c>
      <c r="M575" t="s">
        <v>28</v>
      </c>
      <c r="N575">
        <v>35000</v>
      </c>
      <c r="O575">
        <v>6</v>
      </c>
      <c r="P575">
        <v>210000</v>
      </c>
      <c r="Q575">
        <v>65.239999999999995</v>
      </c>
      <c r="R575" t="s">
        <v>29</v>
      </c>
      <c r="S575" t="s">
        <v>97</v>
      </c>
      <c r="T575">
        <f t="shared" si="34"/>
        <v>210000</v>
      </c>
      <c r="U575" t="str">
        <f t="shared" si="35"/>
        <v>13-24 Months</v>
      </c>
    </row>
    <row r="576" spans="1:21" hidden="1">
      <c r="A576" t="s">
        <v>918</v>
      </c>
      <c r="B576" t="s">
        <v>166</v>
      </c>
      <c r="C576" s="2" t="s">
        <v>427</v>
      </c>
      <c r="D576" s="2" t="str">
        <f t="shared" si="32"/>
        <v>Ese Rose</v>
      </c>
      <c r="E576">
        <v>36</v>
      </c>
      <c r="F576" s="3" t="str">
        <f t="shared" si="33"/>
        <v>30-39</v>
      </c>
      <c r="G576" t="s">
        <v>175</v>
      </c>
      <c r="H576" t="s">
        <v>51</v>
      </c>
      <c r="I576" t="s">
        <v>26</v>
      </c>
      <c r="J576">
        <v>3</v>
      </c>
      <c r="K576" t="s">
        <v>62</v>
      </c>
      <c r="L576">
        <v>17</v>
      </c>
      <c r="M576" t="s">
        <v>82</v>
      </c>
      <c r="N576">
        <v>30000</v>
      </c>
      <c r="O576">
        <v>13</v>
      </c>
      <c r="P576">
        <v>390000</v>
      </c>
      <c r="Q576">
        <v>117.15</v>
      </c>
      <c r="R576" t="s">
        <v>29</v>
      </c>
      <c r="S576" t="s">
        <v>97</v>
      </c>
      <c r="T576">
        <f t="shared" si="34"/>
        <v>390000</v>
      </c>
      <c r="U576" t="str">
        <f t="shared" si="35"/>
        <v>13-24 Months</v>
      </c>
    </row>
    <row r="577" spans="1:21" hidden="1">
      <c r="A577" t="s">
        <v>919</v>
      </c>
      <c r="B577" t="s">
        <v>166</v>
      </c>
      <c r="C577" s="2" t="s">
        <v>427</v>
      </c>
      <c r="D577" s="2" t="str">
        <f t="shared" si="32"/>
        <v>Ese Rose</v>
      </c>
      <c r="E577">
        <v>36</v>
      </c>
      <c r="F577" s="3" t="str">
        <f t="shared" si="33"/>
        <v>30-39</v>
      </c>
      <c r="G577" t="s">
        <v>175</v>
      </c>
      <c r="H577" t="s">
        <v>43</v>
      </c>
      <c r="I577" t="s">
        <v>26</v>
      </c>
      <c r="J577">
        <v>3</v>
      </c>
      <c r="K577" t="s">
        <v>62</v>
      </c>
      <c r="L577">
        <v>17</v>
      </c>
      <c r="M577" t="s">
        <v>91</v>
      </c>
      <c r="N577">
        <v>14500</v>
      </c>
      <c r="O577">
        <v>2</v>
      </c>
      <c r="P577">
        <v>29000</v>
      </c>
      <c r="Q577">
        <v>2.2799999999999998</v>
      </c>
      <c r="R577" t="s">
        <v>29</v>
      </c>
      <c r="S577" t="s">
        <v>97</v>
      </c>
      <c r="T577">
        <f t="shared" si="34"/>
        <v>29000</v>
      </c>
      <c r="U577" t="str">
        <f t="shared" si="35"/>
        <v>13-24 Months</v>
      </c>
    </row>
    <row r="578" spans="1:21" hidden="1">
      <c r="A578" t="s">
        <v>920</v>
      </c>
      <c r="B578" t="s">
        <v>369</v>
      </c>
      <c r="C578" s="2" t="s">
        <v>606</v>
      </c>
      <c r="D578" s="2" t="str">
        <f t="shared" si="32"/>
        <v>John Jones</v>
      </c>
      <c r="E578">
        <v>35</v>
      </c>
      <c r="F578" s="3" t="str">
        <f t="shared" si="33"/>
        <v>30-39</v>
      </c>
      <c r="G578" t="s">
        <v>56</v>
      </c>
      <c r="H578" t="s">
        <v>51</v>
      </c>
      <c r="I578" t="s">
        <v>26</v>
      </c>
      <c r="J578">
        <v>4</v>
      </c>
      <c r="K578" t="s">
        <v>155</v>
      </c>
      <c r="L578">
        <v>16</v>
      </c>
      <c r="M578" t="s">
        <v>82</v>
      </c>
      <c r="N578">
        <v>30000</v>
      </c>
      <c r="O578">
        <v>18</v>
      </c>
      <c r="P578">
        <v>540000</v>
      </c>
      <c r="Q578">
        <v>129.09</v>
      </c>
      <c r="R578" t="s">
        <v>29</v>
      </c>
      <c r="S578" t="s">
        <v>30</v>
      </c>
      <c r="T578">
        <f t="shared" si="34"/>
        <v>540000</v>
      </c>
      <c r="U578" t="str">
        <f t="shared" si="35"/>
        <v>13-24 Months</v>
      </c>
    </row>
    <row r="579" spans="1:21" hidden="1">
      <c r="A579" t="s">
        <v>921</v>
      </c>
      <c r="B579" t="s">
        <v>369</v>
      </c>
      <c r="C579" s="2" t="s">
        <v>606</v>
      </c>
      <c r="D579" s="2" t="str">
        <f t="shared" ref="D579:D642" si="36">B579&amp;" "&amp;C579</f>
        <v>John Jones</v>
      </c>
      <c r="E579">
        <v>35</v>
      </c>
      <c r="F579" s="3" t="str">
        <f t="shared" ref="F579:F642" si="37">FLOOR(E579, 10)&amp;"-"&amp;FLOOR(E579, 10)+9</f>
        <v>30-39</v>
      </c>
      <c r="G579" t="s">
        <v>56</v>
      </c>
      <c r="H579" t="s">
        <v>35</v>
      </c>
      <c r="I579" t="s">
        <v>26</v>
      </c>
      <c r="J579">
        <v>4</v>
      </c>
      <c r="K579" t="s">
        <v>155</v>
      </c>
      <c r="L579">
        <v>16</v>
      </c>
      <c r="M579" t="s">
        <v>108</v>
      </c>
      <c r="N579">
        <v>1000</v>
      </c>
      <c r="O579">
        <v>8</v>
      </c>
      <c r="P579">
        <v>8000</v>
      </c>
      <c r="Q579">
        <v>25.6</v>
      </c>
      <c r="R579" t="s">
        <v>29</v>
      </c>
      <c r="S579" t="s">
        <v>30</v>
      </c>
      <c r="T579">
        <f t="shared" ref="T579:T642" si="38">IF(R579="Yes",P579,0)</f>
        <v>8000</v>
      </c>
      <c r="U579" t="str">
        <f t="shared" ref="U579:U642" si="39">IF(L579&lt;=6,"0-6 Months",
IF(L579&lt;=12,"7-12 Months",
IF(L579&lt;=24,"13-24 Months","24+ Months")))</f>
        <v>13-24 Months</v>
      </c>
    </row>
    <row r="580" spans="1:21">
      <c r="A580" t="s">
        <v>922</v>
      </c>
      <c r="B580" t="s">
        <v>166</v>
      </c>
      <c r="C580" s="2" t="s">
        <v>923</v>
      </c>
      <c r="D580" s="2" t="str">
        <f t="shared" si="36"/>
        <v>Ese Bailey</v>
      </c>
      <c r="E580">
        <v>60</v>
      </c>
      <c r="F580" s="3" t="str">
        <f t="shared" si="37"/>
        <v>60-69</v>
      </c>
      <c r="G580" t="s">
        <v>272</v>
      </c>
      <c r="H580" t="s">
        <v>51</v>
      </c>
      <c r="I580" t="s">
        <v>26</v>
      </c>
      <c r="J580">
        <v>3</v>
      </c>
      <c r="K580" t="s">
        <v>62</v>
      </c>
      <c r="L580">
        <v>2</v>
      </c>
      <c r="M580" t="s">
        <v>91</v>
      </c>
      <c r="N580">
        <v>14500</v>
      </c>
      <c r="O580">
        <v>18</v>
      </c>
      <c r="P580">
        <v>261000</v>
      </c>
      <c r="Q580">
        <v>112.03</v>
      </c>
      <c r="R580" t="s">
        <v>46</v>
      </c>
      <c r="S580" t="s">
        <v>47</v>
      </c>
      <c r="T580">
        <f t="shared" si="38"/>
        <v>0</v>
      </c>
      <c r="U580" t="str">
        <f t="shared" si="39"/>
        <v>0-6 Months</v>
      </c>
    </row>
    <row r="581" spans="1:21">
      <c r="A581" t="s">
        <v>924</v>
      </c>
      <c r="B581" t="s">
        <v>166</v>
      </c>
      <c r="C581" s="2" t="s">
        <v>923</v>
      </c>
      <c r="D581" s="2" t="str">
        <f t="shared" si="36"/>
        <v>Ese Bailey</v>
      </c>
      <c r="E581">
        <v>60</v>
      </c>
      <c r="F581" s="3" t="str">
        <f t="shared" si="37"/>
        <v>60-69</v>
      </c>
      <c r="G581" t="s">
        <v>272</v>
      </c>
      <c r="H581" t="s">
        <v>25</v>
      </c>
      <c r="I581" t="s">
        <v>26</v>
      </c>
      <c r="J581">
        <v>3</v>
      </c>
      <c r="K581" t="s">
        <v>62</v>
      </c>
      <c r="L581">
        <v>2</v>
      </c>
      <c r="M581" t="s">
        <v>28</v>
      </c>
      <c r="N581">
        <v>35000</v>
      </c>
      <c r="O581">
        <v>6</v>
      </c>
      <c r="P581">
        <v>210000</v>
      </c>
      <c r="Q581">
        <v>38.36</v>
      </c>
      <c r="R581" t="s">
        <v>46</v>
      </c>
      <c r="S581" t="s">
        <v>47</v>
      </c>
      <c r="T581">
        <f t="shared" si="38"/>
        <v>0</v>
      </c>
      <c r="U581" t="str">
        <f t="shared" si="39"/>
        <v>0-6 Months</v>
      </c>
    </row>
    <row r="582" spans="1:21">
      <c r="A582" t="s">
        <v>925</v>
      </c>
      <c r="B582" t="s">
        <v>131</v>
      </c>
      <c r="C582" s="2" t="s">
        <v>926</v>
      </c>
      <c r="D582" s="2" t="str">
        <f t="shared" si="36"/>
        <v>David Higgins</v>
      </c>
      <c r="E582">
        <v>60</v>
      </c>
      <c r="F582" s="3" t="str">
        <f t="shared" si="37"/>
        <v>60-69</v>
      </c>
      <c r="G582" t="s">
        <v>353</v>
      </c>
      <c r="H582" t="s">
        <v>43</v>
      </c>
      <c r="I582" t="s">
        <v>36</v>
      </c>
      <c r="J582">
        <v>1</v>
      </c>
      <c r="K582" t="s">
        <v>44</v>
      </c>
      <c r="L582">
        <v>18</v>
      </c>
      <c r="M582" t="s">
        <v>156</v>
      </c>
      <c r="N582">
        <v>25000</v>
      </c>
      <c r="O582">
        <v>17</v>
      </c>
      <c r="P582">
        <v>425000</v>
      </c>
      <c r="Q582">
        <v>91.09</v>
      </c>
      <c r="R582" t="s">
        <v>46</v>
      </c>
      <c r="S582" t="s">
        <v>47</v>
      </c>
      <c r="T582">
        <f t="shared" si="38"/>
        <v>0</v>
      </c>
      <c r="U582" t="str">
        <f t="shared" si="39"/>
        <v>13-24 Months</v>
      </c>
    </row>
    <row r="583" spans="1:21">
      <c r="A583" t="s">
        <v>927</v>
      </c>
      <c r="B583" t="s">
        <v>131</v>
      </c>
      <c r="C583" s="2" t="s">
        <v>926</v>
      </c>
      <c r="D583" s="2" t="str">
        <f t="shared" si="36"/>
        <v>David Higgins</v>
      </c>
      <c r="E583">
        <v>60</v>
      </c>
      <c r="F583" s="3" t="str">
        <f t="shared" si="37"/>
        <v>60-69</v>
      </c>
      <c r="G583" t="s">
        <v>353</v>
      </c>
      <c r="H583" t="s">
        <v>25</v>
      </c>
      <c r="I583" t="s">
        <v>36</v>
      </c>
      <c r="J583">
        <v>1</v>
      </c>
      <c r="K583" t="s">
        <v>44</v>
      </c>
      <c r="L583">
        <v>18</v>
      </c>
      <c r="M583" t="s">
        <v>28</v>
      </c>
      <c r="N583">
        <v>35000</v>
      </c>
      <c r="O583">
        <v>1</v>
      </c>
      <c r="P583">
        <v>35000</v>
      </c>
      <c r="Q583">
        <v>146.86000000000001</v>
      </c>
      <c r="R583" t="s">
        <v>46</v>
      </c>
      <c r="S583" t="s">
        <v>47</v>
      </c>
      <c r="T583">
        <f t="shared" si="38"/>
        <v>0</v>
      </c>
      <c r="U583" t="str">
        <f t="shared" si="39"/>
        <v>13-24 Months</v>
      </c>
    </row>
    <row r="584" spans="1:21">
      <c r="A584" t="s">
        <v>928</v>
      </c>
      <c r="B584" t="s">
        <v>54</v>
      </c>
      <c r="C584" s="2" t="s">
        <v>723</v>
      </c>
      <c r="D584" s="2" t="str">
        <f t="shared" si="36"/>
        <v>Ejiro Scott</v>
      </c>
      <c r="E584">
        <v>46</v>
      </c>
      <c r="F584" s="3" t="str">
        <f t="shared" si="37"/>
        <v>40-49</v>
      </c>
      <c r="G584" t="s">
        <v>353</v>
      </c>
      <c r="H584" t="s">
        <v>25</v>
      </c>
      <c r="I584" t="s">
        <v>26</v>
      </c>
      <c r="J584">
        <v>2</v>
      </c>
      <c r="K584" t="s">
        <v>27</v>
      </c>
      <c r="L584">
        <v>43</v>
      </c>
      <c r="M584" t="s">
        <v>63</v>
      </c>
      <c r="N584">
        <v>9000</v>
      </c>
      <c r="O584">
        <v>11</v>
      </c>
      <c r="P584">
        <v>99000</v>
      </c>
      <c r="Q584">
        <v>64.86</v>
      </c>
      <c r="R584" t="s">
        <v>46</v>
      </c>
      <c r="S584" t="s">
        <v>47</v>
      </c>
      <c r="T584">
        <f t="shared" si="38"/>
        <v>0</v>
      </c>
      <c r="U584" t="str">
        <f t="shared" si="39"/>
        <v>24+ Months</v>
      </c>
    </row>
    <row r="585" spans="1:21">
      <c r="A585" t="s">
        <v>929</v>
      </c>
      <c r="B585" t="s">
        <v>54</v>
      </c>
      <c r="C585" s="2" t="s">
        <v>723</v>
      </c>
      <c r="D585" s="2" t="str">
        <f t="shared" si="36"/>
        <v>Ejiro Scott</v>
      </c>
      <c r="E585">
        <v>46</v>
      </c>
      <c r="F585" s="3" t="str">
        <f t="shared" si="37"/>
        <v>40-49</v>
      </c>
      <c r="G585" t="s">
        <v>353</v>
      </c>
      <c r="H585" t="s">
        <v>43</v>
      </c>
      <c r="I585" t="s">
        <v>26</v>
      </c>
      <c r="J585">
        <v>2</v>
      </c>
      <c r="K585" t="s">
        <v>27</v>
      </c>
      <c r="L585">
        <v>43</v>
      </c>
      <c r="M585" t="s">
        <v>45</v>
      </c>
      <c r="N585">
        <v>20000</v>
      </c>
      <c r="O585">
        <v>3</v>
      </c>
      <c r="P585">
        <v>60000</v>
      </c>
      <c r="Q585">
        <v>19.7</v>
      </c>
      <c r="R585" t="s">
        <v>46</v>
      </c>
      <c r="S585" t="s">
        <v>47</v>
      </c>
      <c r="T585">
        <f t="shared" si="38"/>
        <v>0</v>
      </c>
      <c r="U585" t="str">
        <f t="shared" si="39"/>
        <v>24+ Months</v>
      </c>
    </row>
    <row r="586" spans="1:21" hidden="1">
      <c r="A586" t="s">
        <v>930</v>
      </c>
      <c r="B586" t="s">
        <v>404</v>
      </c>
      <c r="C586" s="2" t="s">
        <v>931</v>
      </c>
      <c r="D586" s="2" t="str">
        <f t="shared" si="36"/>
        <v>Bola Spencer</v>
      </c>
      <c r="E586">
        <v>32</v>
      </c>
      <c r="F586" s="3" t="str">
        <f t="shared" si="37"/>
        <v>30-39</v>
      </c>
      <c r="G586" t="s">
        <v>179</v>
      </c>
      <c r="H586" t="s">
        <v>35</v>
      </c>
      <c r="I586" t="s">
        <v>26</v>
      </c>
      <c r="J586">
        <v>4</v>
      </c>
      <c r="K586" t="s">
        <v>155</v>
      </c>
      <c r="L586">
        <v>13</v>
      </c>
      <c r="M586" t="s">
        <v>264</v>
      </c>
      <c r="N586">
        <v>6500</v>
      </c>
      <c r="O586">
        <v>19</v>
      </c>
      <c r="P586">
        <v>123500</v>
      </c>
      <c r="Q586">
        <v>124.98</v>
      </c>
      <c r="R586" t="s">
        <v>29</v>
      </c>
      <c r="S586" t="s">
        <v>97</v>
      </c>
      <c r="T586">
        <f t="shared" si="38"/>
        <v>123500</v>
      </c>
      <c r="U586" t="str">
        <f t="shared" si="39"/>
        <v>13-24 Months</v>
      </c>
    </row>
    <row r="587" spans="1:21" hidden="1">
      <c r="A587" t="s">
        <v>932</v>
      </c>
      <c r="B587" t="s">
        <v>404</v>
      </c>
      <c r="C587" s="2" t="s">
        <v>931</v>
      </c>
      <c r="D587" s="2" t="str">
        <f t="shared" si="36"/>
        <v>Bola Spencer</v>
      </c>
      <c r="E587">
        <v>32</v>
      </c>
      <c r="F587" s="3" t="str">
        <f t="shared" si="37"/>
        <v>30-39</v>
      </c>
      <c r="G587" t="s">
        <v>179</v>
      </c>
      <c r="H587" t="s">
        <v>43</v>
      </c>
      <c r="I587" t="s">
        <v>26</v>
      </c>
      <c r="J587">
        <v>4</v>
      </c>
      <c r="K587" t="s">
        <v>155</v>
      </c>
      <c r="L587">
        <v>13</v>
      </c>
      <c r="M587" t="s">
        <v>78</v>
      </c>
      <c r="N587">
        <v>24000</v>
      </c>
      <c r="O587">
        <v>8</v>
      </c>
      <c r="P587">
        <v>192000</v>
      </c>
      <c r="Q587">
        <v>10.29</v>
      </c>
      <c r="R587" t="s">
        <v>29</v>
      </c>
      <c r="S587" t="s">
        <v>97</v>
      </c>
      <c r="T587">
        <f t="shared" si="38"/>
        <v>192000</v>
      </c>
      <c r="U587" t="str">
        <f t="shared" si="39"/>
        <v>13-24 Months</v>
      </c>
    </row>
    <row r="588" spans="1:21" hidden="1">
      <c r="A588" t="s">
        <v>933</v>
      </c>
      <c r="B588" t="s">
        <v>404</v>
      </c>
      <c r="C588" s="2" t="s">
        <v>931</v>
      </c>
      <c r="D588" s="2" t="str">
        <f t="shared" si="36"/>
        <v>Bola Spencer</v>
      </c>
      <c r="E588">
        <v>32</v>
      </c>
      <c r="F588" s="3" t="str">
        <f t="shared" si="37"/>
        <v>30-39</v>
      </c>
      <c r="G588" t="s">
        <v>179</v>
      </c>
      <c r="H588" t="s">
        <v>25</v>
      </c>
      <c r="I588" t="s">
        <v>26</v>
      </c>
      <c r="J588">
        <v>4</v>
      </c>
      <c r="K588" t="s">
        <v>155</v>
      </c>
      <c r="L588">
        <v>13</v>
      </c>
      <c r="M588" t="s">
        <v>73</v>
      </c>
      <c r="N588">
        <v>16000</v>
      </c>
      <c r="O588">
        <v>7</v>
      </c>
      <c r="P588">
        <v>112000</v>
      </c>
      <c r="Q588">
        <v>3.11</v>
      </c>
      <c r="R588" t="s">
        <v>29</v>
      </c>
      <c r="S588" t="s">
        <v>97</v>
      </c>
      <c r="T588">
        <f t="shared" si="38"/>
        <v>112000</v>
      </c>
      <c r="U588" t="str">
        <f t="shared" si="39"/>
        <v>13-24 Months</v>
      </c>
    </row>
    <row r="589" spans="1:21">
      <c r="A589" t="s">
        <v>934</v>
      </c>
      <c r="B589" t="s">
        <v>232</v>
      </c>
      <c r="C589" s="2" t="s">
        <v>183</v>
      </c>
      <c r="D589" s="2" t="str">
        <f t="shared" si="36"/>
        <v>Grace Davis</v>
      </c>
      <c r="E589">
        <v>26</v>
      </c>
      <c r="F589" s="3" t="str">
        <f t="shared" si="37"/>
        <v>20-29</v>
      </c>
      <c r="G589" t="s">
        <v>42</v>
      </c>
      <c r="H589" t="s">
        <v>43</v>
      </c>
      <c r="I589" t="s">
        <v>26</v>
      </c>
      <c r="J589">
        <v>3</v>
      </c>
      <c r="K589" t="s">
        <v>62</v>
      </c>
      <c r="L589">
        <v>24</v>
      </c>
      <c r="M589" t="s">
        <v>52</v>
      </c>
      <c r="N589">
        <v>9000</v>
      </c>
      <c r="O589">
        <v>10</v>
      </c>
      <c r="P589">
        <v>90000</v>
      </c>
      <c r="Q589">
        <v>146.99</v>
      </c>
      <c r="R589" t="s">
        <v>46</v>
      </c>
      <c r="S589" t="s">
        <v>47</v>
      </c>
      <c r="T589">
        <f t="shared" si="38"/>
        <v>0</v>
      </c>
      <c r="U589" t="str">
        <f t="shared" si="39"/>
        <v>13-24 Months</v>
      </c>
    </row>
    <row r="590" spans="1:21">
      <c r="A590" t="s">
        <v>935</v>
      </c>
      <c r="B590" t="s">
        <v>121</v>
      </c>
      <c r="C590" s="2" t="s">
        <v>743</v>
      </c>
      <c r="D590" s="2" t="str">
        <f t="shared" si="36"/>
        <v>Kunle Fuller</v>
      </c>
      <c r="E590">
        <v>43</v>
      </c>
      <c r="F590" s="3" t="str">
        <f t="shared" si="37"/>
        <v>40-49</v>
      </c>
      <c r="G590" t="s">
        <v>96</v>
      </c>
      <c r="H590" t="s">
        <v>25</v>
      </c>
      <c r="I590" t="s">
        <v>26</v>
      </c>
      <c r="J590">
        <v>5</v>
      </c>
      <c r="K590" t="s">
        <v>68</v>
      </c>
      <c r="L590">
        <v>7</v>
      </c>
      <c r="M590" t="s">
        <v>57</v>
      </c>
      <c r="N590">
        <v>4500</v>
      </c>
      <c r="O590">
        <v>18</v>
      </c>
      <c r="P590">
        <v>81000</v>
      </c>
      <c r="Q590">
        <v>111.91</v>
      </c>
      <c r="R590" t="s">
        <v>46</v>
      </c>
      <c r="S590" t="s">
        <v>47</v>
      </c>
      <c r="T590">
        <f t="shared" si="38"/>
        <v>0</v>
      </c>
      <c r="U590" t="str">
        <f t="shared" si="39"/>
        <v>7-12 Months</v>
      </c>
    </row>
    <row r="591" spans="1:21" hidden="1">
      <c r="A591" t="s">
        <v>936</v>
      </c>
      <c r="B591" t="s">
        <v>316</v>
      </c>
      <c r="C591" s="2" t="s">
        <v>937</v>
      </c>
      <c r="D591" s="2" t="str">
        <f t="shared" si="36"/>
        <v>Ibim Wilkerson</v>
      </c>
      <c r="E591">
        <v>29</v>
      </c>
      <c r="F591" s="3" t="str">
        <f t="shared" si="37"/>
        <v>20-29</v>
      </c>
      <c r="G591" t="s">
        <v>210</v>
      </c>
      <c r="H591" t="s">
        <v>35</v>
      </c>
      <c r="I591" t="s">
        <v>36</v>
      </c>
      <c r="J591">
        <v>1</v>
      </c>
      <c r="K591" t="s">
        <v>44</v>
      </c>
      <c r="L591">
        <v>45</v>
      </c>
      <c r="M591" t="s">
        <v>227</v>
      </c>
      <c r="N591">
        <v>600</v>
      </c>
      <c r="O591">
        <v>20</v>
      </c>
      <c r="P591">
        <v>12000</v>
      </c>
      <c r="Q591">
        <v>107.01</v>
      </c>
      <c r="R591" t="s">
        <v>29</v>
      </c>
      <c r="S591" t="s">
        <v>362</v>
      </c>
      <c r="T591">
        <f t="shared" si="38"/>
        <v>12000</v>
      </c>
      <c r="U591" t="str">
        <f t="shared" si="39"/>
        <v>24+ Months</v>
      </c>
    </row>
    <row r="592" spans="1:21" hidden="1">
      <c r="A592" t="s">
        <v>938</v>
      </c>
      <c r="B592" t="s">
        <v>316</v>
      </c>
      <c r="C592" s="2" t="s">
        <v>937</v>
      </c>
      <c r="D592" s="2" t="str">
        <f t="shared" si="36"/>
        <v>Ibim Wilkerson</v>
      </c>
      <c r="E592">
        <v>29</v>
      </c>
      <c r="F592" s="3" t="str">
        <f t="shared" si="37"/>
        <v>20-29</v>
      </c>
      <c r="G592" t="s">
        <v>210</v>
      </c>
      <c r="H592" t="s">
        <v>43</v>
      </c>
      <c r="I592" t="s">
        <v>36</v>
      </c>
      <c r="J592">
        <v>1</v>
      </c>
      <c r="K592" t="s">
        <v>44</v>
      </c>
      <c r="L592">
        <v>45</v>
      </c>
      <c r="M592" t="s">
        <v>71</v>
      </c>
      <c r="N592">
        <v>150000</v>
      </c>
      <c r="O592">
        <v>11</v>
      </c>
      <c r="P592">
        <v>1650000</v>
      </c>
      <c r="Q592">
        <v>186.74</v>
      </c>
      <c r="R592" t="s">
        <v>29</v>
      </c>
      <c r="S592" t="s">
        <v>362</v>
      </c>
      <c r="T592">
        <f t="shared" si="38"/>
        <v>1650000</v>
      </c>
      <c r="U592" t="str">
        <f t="shared" si="39"/>
        <v>24+ Months</v>
      </c>
    </row>
    <row r="593" spans="1:21" hidden="1">
      <c r="A593" t="s">
        <v>939</v>
      </c>
      <c r="B593" t="s">
        <v>316</v>
      </c>
      <c r="C593" s="2" t="s">
        <v>937</v>
      </c>
      <c r="D593" s="2" t="str">
        <f t="shared" si="36"/>
        <v>Ibim Wilkerson</v>
      </c>
      <c r="E593">
        <v>29</v>
      </c>
      <c r="F593" s="3" t="str">
        <f t="shared" si="37"/>
        <v>20-29</v>
      </c>
      <c r="G593" t="s">
        <v>210</v>
      </c>
      <c r="H593" t="s">
        <v>25</v>
      </c>
      <c r="I593" t="s">
        <v>36</v>
      </c>
      <c r="J593">
        <v>1</v>
      </c>
      <c r="K593" t="s">
        <v>44</v>
      </c>
      <c r="L593">
        <v>45</v>
      </c>
      <c r="M593" t="s">
        <v>63</v>
      </c>
      <c r="N593">
        <v>9000</v>
      </c>
      <c r="O593">
        <v>14</v>
      </c>
      <c r="P593">
        <v>126000</v>
      </c>
      <c r="Q593">
        <v>169.05</v>
      </c>
      <c r="R593" t="s">
        <v>29</v>
      </c>
      <c r="S593" t="s">
        <v>362</v>
      </c>
      <c r="T593">
        <f t="shared" si="38"/>
        <v>126000</v>
      </c>
      <c r="U593" t="str">
        <f t="shared" si="39"/>
        <v>24+ Months</v>
      </c>
    </row>
    <row r="594" spans="1:21">
      <c r="A594" t="s">
        <v>940</v>
      </c>
      <c r="B594" t="s">
        <v>75</v>
      </c>
      <c r="C594" s="2" t="s">
        <v>941</v>
      </c>
      <c r="D594" s="2" t="str">
        <f t="shared" si="36"/>
        <v>Boma Knight</v>
      </c>
      <c r="E594">
        <v>57</v>
      </c>
      <c r="F594" s="3" t="str">
        <f t="shared" si="37"/>
        <v>50-59</v>
      </c>
      <c r="G594" t="s">
        <v>89</v>
      </c>
      <c r="H594" t="s">
        <v>35</v>
      </c>
      <c r="I594" t="s">
        <v>26</v>
      </c>
      <c r="J594">
        <v>3</v>
      </c>
      <c r="K594" t="s">
        <v>62</v>
      </c>
      <c r="L594">
        <v>25</v>
      </c>
      <c r="M594" t="s">
        <v>137</v>
      </c>
      <c r="N594">
        <v>900</v>
      </c>
      <c r="O594">
        <v>20</v>
      </c>
      <c r="P594">
        <v>18000</v>
      </c>
      <c r="Q594">
        <v>196.6</v>
      </c>
      <c r="R594" t="s">
        <v>46</v>
      </c>
      <c r="S594" t="s">
        <v>47</v>
      </c>
      <c r="T594">
        <f t="shared" si="38"/>
        <v>0</v>
      </c>
      <c r="U594" t="str">
        <f t="shared" si="39"/>
        <v>24+ Months</v>
      </c>
    </row>
    <row r="595" spans="1:21">
      <c r="A595" t="s">
        <v>942</v>
      </c>
      <c r="B595" t="s">
        <v>75</v>
      </c>
      <c r="C595" s="2" t="s">
        <v>941</v>
      </c>
      <c r="D595" s="2" t="str">
        <f t="shared" si="36"/>
        <v>Boma Knight</v>
      </c>
      <c r="E595">
        <v>57</v>
      </c>
      <c r="F595" s="3" t="str">
        <f t="shared" si="37"/>
        <v>50-59</v>
      </c>
      <c r="G595" t="s">
        <v>89</v>
      </c>
      <c r="H595" t="s">
        <v>51</v>
      </c>
      <c r="I595" t="s">
        <v>26</v>
      </c>
      <c r="J595">
        <v>3</v>
      </c>
      <c r="K595" t="s">
        <v>62</v>
      </c>
      <c r="L595">
        <v>25</v>
      </c>
      <c r="M595" t="s">
        <v>52</v>
      </c>
      <c r="N595">
        <v>9000</v>
      </c>
      <c r="O595">
        <v>10</v>
      </c>
      <c r="P595">
        <v>90000</v>
      </c>
      <c r="Q595">
        <v>103.76</v>
      </c>
      <c r="R595" t="s">
        <v>46</v>
      </c>
      <c r="S595" t="s">
        <v>47</v>
      </c>
      <c r="T595">
        <f t="shared" si="38"/>
        <v>0</v>
      </c>
      <c r="U595" t="str">
        <f t="shared" si="39"/>
        <v>24+ Months</v>
      </c>
    </row>
    <row r="596" spans="1:21">
      <c r="A596" t="s">
        <v>943</v>
      </c>
      <c r="B596" t="s">
        <v>126</v>
      </c>
      <c r="C596" s="2" t="s">
        <v>944</v>
      </c>
      <c r="D596" s="2" t="str">
        <f t="shared" si="36"/>
        <v>Tunde Wallace</v>
      </c>
      <c r="E596">
        <v>54</v>
      </c>
      <c r="F596" s="3" t="str">
        <f t="shared" si="37"/>
        <v>50-59</v>
      </c>
      <c r="G596" t="s">
        <v>154</v>
      </c>
      <c r="H596" t="s">
        <v>43</v>
      </c>
      <c r="I596" t="s">
        <v>26</v>
      </c>
      <c r="J596">
        <v>1</v>
      </c>
      <c r="K596" t="s">
        <v>44</v>
      </c>
      <c r="L596">
        <v>55</v>
      </c>
      <c r="M596" t="s">
        <v>45</v>
      </c>
      <c r="N596">
        <v>20000</v>
      </c>
      <c r="O596">
        <v>12</v>
      </c>
      <c r="P596">
        <v>240000</v>
      </c>
      <c r="Q596">
        <v>8.0299999999999994</v>
      </c>
      <c r="R596" t="s">
        <v>46</v>
      </c>
      <c r="S596" t="s">
        <v>47</v>
      </c>
      <c r="T596">
        <f t="shared" si="38"/>
        <v>0</v>
      </c>
      <c r="U596" t="str">
        <f t="shared" si="39"/>
        <v>24+ Months</v>
      </c>
    </row>
    <row r="597" spans="1:21">
      <c r="A597" t="s">
        <v>945</v>
      </c>
      <c r="B597" t="s">
        <v>126</v>
      </c>
      <c r="C597" s="2" t="s">
        <v>944</v>
      </c>
      <c r="D597" s="2" t="str">
        <f t="shared" si="36"/>
        <v>Tunde Wallace</v>
      </c>
      <c r="E597">
        <v>54</v>
      </c>
      <c r="F597" s="3" t="str">
        <f t="shared" si="37"/>
        <v>50-59</v>
      </c>
      <c r="G597" t="s">
        <v>154</v>
      </c>
      <c r="H597" t="s">
        <v>35</v>
      </c>
      <c r="I597" t="s">
        <v>26</v>
      </c>
      <c r="J597">
        <v>1</v>
      </c>
      <c r="K597" t="s">
        <v>44</v>
      </c>
      <c r="L597">
        <v>55</v>
      </c>
      <c r="M597" t="s">
        <v>227</v>
      </c>
      <c r="N597">
        <v>600</v>
      </c>
      <c r="O597">
        <v>12</v>
      </c>
      <c r="P597">
        <v>7200</v>
      </c>
      <c r="Q597">
        <v>28.11</v>
      </c>
      <c r="R597" t="s">
        <v>46</v>
      </c>
      <c r="S597" t="s">
        <v>47</v>
      </c>
      <c r="T597">
        <f t="shared" si="38"/>
        <v>0</v>
      </c>
      <c r="U597" t="str">
        <f t="shared" si="39"/>
        <v>24+ Months</v>
      </c>
    </row>
    <row r="598" spans="1:21">
      <c r="A598" t="s">
        <v>946</v>
      </c>
      <c r="B598" t="s">
        <v>126</v>
      </c>
      <c r="C598" s="2" t="s">
        <v>944</v>
      </c>
      <c r="D598" s="2" t="str">
        <f t="shared" si="36"/>
        <v>Tunde Wallace</v>
      </c>
      <c r="E598">
        <v>54</v>
      </c>
      <c r="F598" s="3" t="str">
        <f t="shared" si="37"/>
        <v>50-59</v>
      </c>
      <c r="G598" t="s">
        <v>154</v>
      </c>
      <c r="H598" t="s">
        <v>51</v>
      </c>
      <c r="I598" t="s">
        <v>26</v>
      </c>
      <c r="J598">
        <v>1</v>
      </c>
      <c r="K598" t="s">
        <v>44</v>
      </c>
      <c r="L598">
        <v>55</v>
      </c>
      <c r="M598" t="s">
        <v>78</v>
      </c>
      <c r="N598">
        <v>24000</v>
      </c>
      <c r="O598">
        <v>9</v>
      </c>
      <c r="P598">
        <v>216000</v>
      </c>
      <c r="Q598">
        <v>50.35</v>
      </c>
      <c r="R598" t="s">
        <v>46</v>
      </c>
      <c r="S598" t="s">
        <v>47</v>
      </c>
      <c r="T598">
        <f t="shared" si="38"/>
        <v>0</v>
      </c>
      <c r="U598" t="str">
        <f t="shared" si="39"/>
        <v>24+ Months</v>
      </c>
    </row>
    <row r="599" spans="1:21">
      <c r="A599" t="s">
        <v>947</v>
      </c>
      <c r="B599" t="s">
        <v>169</v>
      </c>
      <c r="C599" s="2" t="s">
        <v>55</v>
      </c>
      <c r="D599" s="2" t="str">
        <f t="shared" si="36"/>
        <v>Maryam Walker</v>
      </c>
      <c r="E599">
        <v>27</v>
      </c>
      <c r="F599" s="3" t="str">
        <f t="shared" si="37"/>
        <v>20-29</v>
      </c>
      <c r="G599" t="s">
        <v>106</v>
      </c>
      <c r="H599" t="s">
        <v>35</v>
      </c>
      <c r="I599" t="s">
        <v>26</v>
      </c>
      <c r="J599">
        <v>3</v>
      </c>
      <c r="K599" t="s">
        <v>62</v>
      </c>
      <c r="L599">
        <v>47</v>
      </c>
      <c r="M599" t="s">
        <v>108</v>
      </c>
      <c r="N599">
        <v>1000</v>
      </c>
      <c r="O599">
        <v>10</v>
      </c>
      <c r="P599">
        <v>10000</v>
      </c>
      <c r="Q599">
        <v>119.25</v>
      </c>
      <c r="R599" t="s">
        <v>46</v>
      </c>
      <c r="S599" t="s">
        <v>47</v>
      </c>
      <c r="T599">
        <f t="shared" si="38"/>
        <v>0</v>
      </c>
      <c r="U599" t="str">
        <f t="shared" si="39"/>
        <v>24+ Months</v>
      </c>
    </row>
    <row r="600" spans="1:21">
      <c r="A600" t="s">
        <v>948</v>
      </c>
      <c r="B600" t="s">
        <v>404</v>
      </c>
      <c r="C600" s="2" t="s">
        <v>683</v>
      </c>
      <c r="D600" s="2" t="str">
        <f t="shared" si="36"/>
        <v>Bola Castro</v>
      </c>
      <c r="E600">
        <v>64</v>
      </c>
      <c r="F600" s="3" t="str">
        <f t="shared" si="37"/>
        <v>60-69</v>
      </c>
      <c r="G600" t="s">
        <v>415</v>
      </c>
      <c r="H600" t="s">
        <v>35</v>
      </c>
      <c r="I600" t="s">
        <v>26</v>
      </c>
      <c r="J600">
        <v>3</v>
      </c>
      <c r="K600" t="s">
        <v>62</v>
      </c>
      <c r="L600">
        <v>59</v>
      </c>
      <c r="M600" t="s">
        <v>93</v>
      </c>
      <c r="N600">
        <v>350</v>
      </c>
      <c r="O600">
        <v>20</v>
      </c>
      <c r="P600">
        <v>7000</v>
      </c>
      <c r="Q600">
        <v>149.66</v>
      </c>
      <c r="R600" t="s">
        <v>46</v>
      </c>
      <c r="S600" t="s">
        <v>47</v>
      </c>
      <c r="T600">
        <f t="shared" si="38"/>
        <v>0</v>
      </c>
      <c r="U600" t="str">
        <f t="shared" si="39"/>
        <v>24+ Months</v>
      </c>
    </row>
    <row r="601" spans="1:21">
      <c r="A601" t="s">
        <v>949</v>
      </c>
      <c r="B601" t="s">
        <v>404</v>
      </c>
      <c r="C601" s="2" t="s">
        <v>683</v>
      </c>
      <c r="D601" s="2" t="str">
        <f t="shared" si="36"/>
        <v>Bola Castro</v>
      </c>
      <c r="E601">
        <v>64</v>
      </c>
      <c r="F601" s="3" t="str">
        <f t="shared" si="37"/>
        <v>60-69</v>
      </c>
      <c r="G601" t="s">
        <v>415</v>
      </c>
      <c r="H601" t="s">
        <v>51</v>
      </c>
      <c r="I601" t="s">
        <v>26</v>
      </c>
      <c r="J601">
        <v>3</v>
      </c>
      <c r="K601" t="s">
        <v>62</v>
      </c>
      <c r="L601">
        <v>59</v>
      </c>
      <c r="M601" t="s">
        <v>52</v>
      </c>
      <c r="N601">
        <v>9000</v>
      </c>
      <c r="O601">
        <v>13</v>
      </c>
      <c r="P601">
        <v>117000</v>
      </c>
      <c r="Q601">
        <v>126.96</v>
      </c>
      <c r="R601" t="s">
        <v>46</v>
      </c>
      <c r="S601" t="s">
        <v>47</v>
      </c>
      <c r="T601">
        <f t="shared" si="38"/>
        <v>0</v>
      </c>
      <c r="U601" t="str">
        <f t="shared" si="39"/>
        <v>24+ Months</v>
      </c>
    </row>
    <row r="602" spans="1:21">
      <c r="A602" t="s">
        <v>950</v>
      </c>
      <c r="B602" t="s">
        <v>447</v>
      </c>
      <c r="C602" s="2" t="s">
        <v>951</v>
      </c>
      <c r="D602" s="2" t="str">
        <f t="shared" si="36"/>
        <v>Sade Shepard</v>
      </c>
      <c r="E602">
        <v>55</v>
      </c>
      <c r="F602" s="3" t="str">
        <f t="shared" si="37"/>
        <v>50-59</v>
      </c>
      <c r="G602" t="s">
        <v>96</v>
      </c>
      <c r="H602" t="s">
        <v>35</v>
      </c>
      <c r="I602" t="s">
        <v>26</v>
      </c>
      <c r="J602">
        <v>3</v>
      </c>
      <c r="K602" t="s">
        <v>62</v>
      </c>
      <c r="L602">
        <v>21</v>
      </c>
      <c r="M602" t="s">
        <v>73</v>
      </c>
      <c r="N602">
        <v>16000</v>
      </c>
      <c r="O602">
        <v>13</v>
      </c>
      <c r="P602">
        <v>208000</v>
      </c>
      <c r="Q602">
        <v>134.88999999999999</v>
      </c>
      <c r="R602" t="s">
        <v>46</v>
      </c>
      <c r="S602" t="s">
        <v>47</v>
      </c>
      <c r="T602">
        <f t="shared" si="38"/>
        <v>0</v>
      </c>
      <c r="U602" t="str">
        <f t="shared" si="39"/>
        <v>13-24 Months</v>
      </c>
    </row>
    <row r="603" spans="1:21" hidden="1">
      <c r="A603" t="s">
        <v>952</v>
      </c>
      <c r="B603" t="s">
        <v>182</v>
      </c>
      <c r="C603" s="2" t="s">
        <v>953</v>
      </c>
      <c r="D603" s="2" t="str">
        <f t="shared" si="36"/>
        <v>Alabo Cortez</v>
      </c>
      <c r="E603">
        <v>80</v>
      </c>
      <c r="F603" s="3" t="str">
        <f t="shared" si="37"/>
        <v>80-89</v>
      </c>
      <c r="G603" t="s">
        <v>415</v>
      </c>
      <c r="H603" t="s">
        <v>35</v>
      </c>
      <c r="I603" t="s">
        <v>26</v>
      </c>
      <c r="J603">
        <v>4</v>
      </c>
      <c r="K603" t="s">
        <v>155</v>
      </c>
      <c r="L603">
        <v>28</v>
      </c>
      <c r="M603" t="s">
        <v>137</v>
      </c>
      <c r="N603">
        <v>900</v>
      </c>
      <c r="O603">
        <v>9</v>
      </c>
      <c r="P603">
        <v>8100</v>
      </c>
      <c r="Q603">
        <v>109.86</v>
      </c>
      <c r="R603" t="s">
        <v>29</v>
      </c>
      <c r="S603" t="s">
        <v>129</v>
      </c>
      <c r="T603">
        <f t="shared" si="38"/>
        <v>8100</v>
      </c>
      <c r="U603" t="str">
        <f t="shared" si="39"/>
        <v>24+ Months</v>
      </c>
    </row>
    <row r="604" spans="1:21">
      <c r="A604" t="s">
        <v>954</v>
      </c>
      <c r="B604" t="s">
        <v>219</v>
      </c>
      <c r="C604" s="2" t="s">
        <v>225</v>
      </c>
      <c r="D604" s="2" t="str">
        <f t="shared" si="36"/>
        <v>Chinedu Hoffman</v>
      </c>
      <c r="E604">
        <v>67</v>
      </c>
      <c r="F604" s="3" t="str">
        <f t="shared" si="37"/>
        <v>60-69</v>
      </c>
      <c r="G604" t="s">
        <v>260</v>
      </c>
      <c r="H604" t="s">
        <v>35</v>
      </c>
      <c r="I604" t="s">
        <v>36</v>
      </c>
      <c r="J604">
        <v>2</v>
      </c>
      <c r="K604" t="s">
        <v>27</v>
      </c>
      <c r="L604">
        <v>50</v>
      </c>
      <c r="M604" t="s">
        <v>113</v>
      </c>
      <c r="N604">
        <v>7500</v>
      </c>
      <c r="O604">
        <v>7</v>
      </c>
      <c r="P604">
        <v>52500</v>
      </c>
      <c r="Q604">
        <v>130.62</v>
      </c>
      <c r="R604" t="s">
        <v>46</v>
      </c>
      <c r="S604" t="s">
        <v>47</v>
      </c>
      <c r="T604">
        <f t="shared" si="38"/>
        <v>0</v>
      </c>
      <c r="U604" t="str">
        <f t="shared" si="39"/>
        <v>24+ Months</v>
      </c>
    </row>
    <row r="605" spans="1:21">
      <c r="A605" t="s">
        <v>955</v>
      </c>
      <c r="B605" t="s">
        <v>385</v>
      </c>
      <c r="C605" s="2" t="s">
        <v>291</v>
      </c>
      <c r="D605" s="2" t="str">
        <f t="shared" si="36"/>
        <v>Sarah Flores</v>
      </c>
      <c r="E605">
        <v>47</v>
      </c>
      <c r="F605" s="3" t="str">
        <f t="shared" si="37"/>
        <v>40-49</v>
      </c>
      <c r="G605" t="s">
        <v>89</v>
      </c>
      <c r="H605" t="s">
        <v>51</v>
      </c>
      <c r="I605" t="s">
        <v>26</v>
      </c>
      <c r="J605">
        <v>3</v>
      </c>
      <c r="K605" t="s">
        <v>62</v>
      </c>
      <c r="L605">
        <v>18</v>
      </c>
      <c r="M605" t="s">
        <v>91</v>
      </c>
      <c r="N605">
        <v>14500</v>
      </c>
      <c r="O605">
        <v>7</v>
      </c>
      <c r="P605">
        <v>101500</v>
      </c>
      <c r="Q605">
        <v>73.37</v>
      </c>
      <c r="R605" t="s">
        <v>46</v>
      </c>
      <c r="S605" t="s">
        <v>47</v>
      </c>
      <c r="T605">
        <f t="shared" si="38"/>
        <v>0</v>
      </c>
      <c r="U605" t="str">
        <f t="shared" si="39"/>
        <v>13-24 Months</v>
      </c>
    </row>
    <row r="606" spans="1:21">
      <c r="A606" t="s">
        <v>956</v>
      </c>
      <c r="B606" t="s">
        <v>385</v>
      </c>
      <c r="C606" s="2" t="s">
        <v>291</v>
      </c>
      <c r="D606" s="2" t="str">
        <f t="shared" si="36"/>
        <v>Sarah Flores</v>
      </c>
      <c r="E606">
        <v>47</v>
      </c>
      <c r="F606" s="3" t="str">
        <f t="shared" si="37"/>
        <v>40-49</v>
      </c>
      <c r="G606" t="s">
        <v>89</v>
      </c>
      <c r="H606" t="s">
        <v>35</v>
      </c>
      <c r="I606" t="s">
        <v>26</v>
      </c>
      <c r="J606">
        <v>3</v>
      </c>
      <c r="K606" t="s">
        <v>62</v>
      </c>
      <c r="L606">
        <v>18</v>
      </c>
      <c r="M606" t="s">
        <v>69</v>
      </c>
      <c r="N606">
        <v>3500</v>
      </c>
      <c r="O606">
        <v>1</v>
      </c>
      <c r="P606">
        <v>3500</v>
      </c>
      <c r="Q606">
        <v>69.23</v>
      </c>
      <c r="R606" t="s">
        <v>46</v>
      </c>
      <c r="S606" t="s">
        <v>47</v>
      </c>
      <c r="T606">
        <f t="shared" si="38"/>
        <v>0</v>
      </c>
      <c r="U606" t="str">
        <f t="shared" si="39"/>
        <v>13-24 Months</v>
      </c>
    </row>
    <row r="607" spans="1:21">
      <c r="A607" t="s">
        <v>957</v>
      </c>
      <c r="B607" t="s">
        <v>385</v>
      </c>
      <c r="C607" s="2" t="s">
        <v>291</v>
      </c>
      <c r="D607" s="2" t="str">
        <f t="shared" si="36"/>
        <v>Sarah Flores</v>
      </c>
      <c r="E607">
        <v>47</v>
      </c>
      <c r="F607" s="3" t="str">
        <f t="shared" si="37"/>
        <v>40-49</v>
      </c>
      <c r="G607" t="s">
        <v>89</v>
      </c>
      <c r="H607" t="s">
        <v>25</v>
      </c>
      <c r="I607" t="s">
        <v>26</v>
      </c>
      <c r="J607">
        <v>3</v>
      </c>
      <c r="K607" t="s">
        <v>62</v>
      </c>
      <c r="L607">
        <v>18</v>
      </c>
      <c r="M607" t="s">
        <v>63</v>
      </c>
      <c r="N607">
        <v>9000</v>
      </c>
      <c r="O607">
        <v>12</v>
      </c>
      <c r="P607">
        <v>108000</v>
      </c>
      <c r="Q607">
        <v>34.270000000000003</v>
      </c>
      <c r="R607" t="s">
        <v>46</v>
      </c>
      <c r="S607" t="s">
        <v>47</v>
      </c>
      <c r="T607">
        <f t="shared" si="38"/>
        <v>0</v>
      </c>
      <c r="U607" t="str">
        <f t="shared" si="39"/>
        <v>13-24 Months</v>
      </c>
    </row>
    <row r="608" spans="1:21">
      <c r="A608" t="s">
        <v>958</v>
      </c>
      <c r="B608" t="s">
        <v>182</v>
      </c>
      <c r="C608" s="2" t="s">
        <v>959</v>
      </c>
      <c r="D608" s="2" t="str">
        <f t="shared" si="36"/>
        <v>Alabo Guerra</v>
      </c>
      <c r="E608">
        <v>34</v>
      </c>
      <c r="F608" s="3" t="str">
        <f t="shared" si="37"/>
        <v>30-39</v>
      </c>
      <c r="G608" t="s">
        <v>272</v>
      </c>
      <c r="H608" t="s">
        <v>51</v>
      </c>
      <c r="I608" t="s">
        <v>26</v>
      </c>
      <c r="J608">
        <v>2</v>
      </c>
      <c r="K608" t="s">
        <v>27</v>
      </c>
      <c r="L608">
        <v>60</v>
      </c>
      <c r="M608" t="s">
        <v>52</v>
      </c>
      <c r="N608">
        <v>9000</v>
      </c>
      <c r="O608">
        <v>8</v>
      </c>
      <c r="P608">
        <v>72000</v>
      </c>
      <c r="Q608">
        <v>148.05000000000001</v>
      </c>
      <c r="R608" t="s">
        <v>46</v>
      </c>
      <c r="S608" t="s">
        <v>47</v>
      </c>
      <c r="T608">
        <f t="shared" si="38"/>
        <v>0</v>
      </c>
      <c r="U608" t="str">
        <f t="shared" si="39"/>
        <v>24+ Months</v>
      </c>
    </row>
    <row r="609" spans="1:21">
      <c r="A609" t="s">
        <v>960</v>
      </c>
      <c r="B609" t="s">
        <v>134</v>
      </c>
      <c r="C609" s="2" t="s">
        <v>892</v>
      </c>
      <c r="D609" s="2" t="str">
        <f t="shared" si="36"/>
        <v>Obinna Ballard</v>
      </c>
      <c r="E609">
        <v>52</v>
      </c>
      <c r="F609" s="3" t="str">
        <f t="shared" si="37"/>
        <v>50-59</v>
      </c>
      <c r="G609" t="s">
        <v>628</v>
      </c>
      <c r="H609" t="s">
        <v>43</v>
      </c>
      <c r="I609" t="s">
        <v>36</v>
      </c>
      <c r="J609">
        <v>3</v>
      </c>
      <c r="K609" t="s">
        <v>62</v>
      </c>
      <c r="L609">
        <v>45</v>
      </c>
      <c r="M609" t="s">
        <v>91</v>
      </c>
      <c r="N609">
        <v>14500</v>
      </c>
      <c r="O609">
        <v>7</v>
      </c>
      <c r="P609">
        <v>101500</v>
      </c>
      <c r="Q609">
        <v>148.13</v>
      </c>
      <c r="R609" t="s">
        <v>46</v>
      </c>
      <c r="S609" t="s">
        <v>47</v>
      </c>
      <c r="T609">
        <f t="shared" si="38"/>
        <v>0</v>
      </c>
      <c r="U609" t="str">
        <f t="shared" si="39"/>
        <v>24+ Months</v>
      </c>
    </row>
    <row r="610" spans="1:21">
      <c r="A610" t="s">
        <v>961</v>
      </c>
      <c r="B610" t="s">
        <v>335</v>
      </c>
      <c r="C610" s="2" t="s">
        <v>962</v>
      </c>
      <c r="D610" s="2" t="str">
        <f t="shared" si="36"/>
        <v>Fatima Freeman</v>
      </c>
      <c r="E610">
        <v>49</v>
      </c>
      <c r="F610" s="3" t="str">
        <f t="shared" si="37"/>
        <v>40-49</v>
      </c>
      <c r="G610" t="s">
        <v>292</v>
      </c>
      <c r="H610" t="s">
        <v>51</v>
      </c>
      <c r="I610" t="s">
        <v>26</v>
      </c>
      <c r="J610">
        <v>4</v>
      </c>
      <c r="K610" t="s">
        <v>155</v>
      </c>
      <c r="L610">
        <v>45</v>
      </c>
      <c r="M610" t="s">
        <v>52</v>
      </c>
      <c r="N610">
        <v>9000</v>
      </c>
      <c r="O610">
        <v>20</v>
      </c>
      <c r="P610">
        <v>180000</v>
      </c>
      <c r="Q610">
        <v>57.16</v>
      </c>
      <c r="R610" t="s">
        <v>46</v>
      </c>
      <c r="S610" t="s">
        <v>47</v>
      </c>
      <c r="T610">
        <f t="shared" si="38"/>
        <v>0</v>
      </c>
      <c r="U610" t="str">
        <f t="shared" si="39"/>
        <v>24+ Months</v>
      </c>
    </row>
    <row r="611" spans="1:21">
      <c r="A611" t="s">
        <v>963</v>
      </c>
      <c r="B611" t="s">
        <v>335</v>
      </c>
      <c r="C611" s="2" t="s">
        <v>962</v>
      </c>
      <c r="D611" s="2" t="str">
        <f t="shared" si="36"/>
        <v>Fatima Freeman</v>
      </c>
      <c r="E611">
        <v>49</v>
      </c>
      <c r="F611" s="3" t="str">
        <f t="shared" si="37"/>
        <v>40-49</v>
      </c>
      <c r="G611" t="s">
        <v>292</v>
      </c>
      <c r="H611" t="s">
        <v>25</v>
      </c>
      <c r="I611" t="s">
        <v>26</v>
      </c>
      <c r="J611">
        <v>4</v>
      </c>
      <c r="K611" t="s">
        <v>155</v>
      </c>
      <c r="L611">
        <v>45</v>
      </c>
      <c r="M611" t="s">
        <v>63</v>
      </c>
      <c r="N611">
        <v>9000</v>
      </c>
      <c r="O611">
        <v>1</v>
      </c>
      <c r="P611">
        <v>9000</v>
      </c>
      <c r="Q611">
        <v>11.09</v>
      </c>
      <c r="R611" t="s">
        <v>46</v>
      </c>
      <c r="S611" t="s">
        <v>47</v>
      </c>
      <c r="T611">
        <f t="shared" si="38"/>
        <v>0</v>
      </c>
      <c r="U611" t="str">
        <f t="shared" si="39"/>
        <v>24+ Months</v>
      </c>
    </row>
    <row r="612" spans="1:21">
      <c r="A612" t="s">
        <v>964</v>
      </c>
      <c r="B612" t="s">
        <v>335</v>
      </c>
      <c r="C612" s="2" t="s">
        <v>962</v>
      </c>
      <c r="D612" s="2" t="str">
        <f t="shared" si="36"/>
        <v>Fatima Freeman</v>
      </c>
      <c r="E612">
        <v>49</v>
      </c>
      <c r="F612" s="3" t="str">
        <f t="shared" si="37"/>
        <v>40-49</v>
      </c>
      <c r="G612" t="s">
        <v>292</v>
      </c>
      <c r="H612" t="s">
        <v>35</v>
      </c>
      <c r="I612" t="s">
        <v>26</v>
      </c>
      <c r="J612">
        <v>4</v>
      </c>
      <c r="K612" t="s">
        <v>155</v>
      </c>
      <c r="L612">
        <v>45</v>
      </c>
      <c r="M612" t="s">
        <v>108</v>
      </c>
      <c r="N612">
        <v>1000</v>
      </c>
      <c r="O612">
        <v>9</v>
      </c>
      <c r="P612">
        <v>9000</v>
      </c>
      <c r="Q612">
        <v>78.03</v>
      </c>
      <c r="R612" t="s">
        <v>46</v>
      </c>
      <c r="S612" t="s">
        <v>47</v>
      </c>
      <c r="T612">
        <f t="shared" si="38"/>
        <v>0</v>
      </c>
      <c r="U612" t="str">
        <f t="shared" si="39"/>
        <v>24+ Months</v>
      </c>
    </row>
    <row r="613" spans="1:21">
      <c r="A613" t="s">
        <v>965</v>
      </c>
      <c r="B613" t="s">
        <v>54</v>
      </c>
      <c r="C613" s="2" t="s">
        <v>966</v>
      </c>
      <c r="D613" s="2" t="str">
        <f t="shared" si="36"/>
        <v>Ejiro Barker</v>
      </c>
      <c r="E613">
        <v>29</v>
      </c>
      <c r="F613" s="3" t="str">
        <f t="shared" si="37"/>
        <v>20-29</v>
      </c>
      <c r="G613" t="s">
        <v>159</v>
      </c>
      <c r="H613" t="s">
        <v>51</v>
      </c>
      <c r="I613" t="s">
        <v>36</v>
      </c>
      <c r="J613">
        <v>2</v>
      </c>
      <c r="K613" t="s">
        <v>27</v>
      </c>
      <c r="L613">
        <v>56</v>
      </c>
      <c r="M613" t="s">
        <v>78</v>
      </c>
      <c r="N613">
        <v>24000</v>
      </c>
      <c r="O613">
        <v>6</v>
      </c>
      <c r="P613">
        <v>144000</v>
      </c>
      <c r="Q613">
        <v>106.55</v>
      </c>
      <c r="R613" t="s">
        <v>46</v>
      </c>
      <c r="S613" t="s">
        <v>47</v>
      </c>
      <c r="T613">
        <f t="shared" si="38"/>
        <v>0</v>
      </c>
      <c r="U613" t="str">
        <f t="shared" si="39"/>
        <v>24+ Months</v>
      </c>
    </row>
    <row r="614" spans="1:21">
      <c r="A614" t="s">
        <v>967</v>
      </c>
      <c r="B614" t="s">
        <v>54</v>
      </c>
      <c r="C614" s="2" t="s">
        <v>966</v>
      </c>
      <c r="D614" s="2" t="str">
        <f t="shared" si="36"/>
        <v>Ejiro Barker</v>
      </c>
      <c r="E614">
        <v>29</v>
      </c>
      <c r="F614" s="3" t="str">
        <f t="shared" si="37"/>
        <v>20-29</v>
      </c>
      <c r="G614" t="s">
        <v>159</v>
      </c>
      <c r="H614" t="s">
        <v>25</v>
      </c>
      <c r="I614" t="s">
        <v>36</v>
      </c>
      <c r="J614">
        <v>2</v>
      </c>
      <c r="K614" t="s">
        <v>27</v>
      </c>
      <c r="L614">
        <v>56</v>
      </c>
      <c r="M614" t="s">
        <v>57</v>
      </c>
      <c r="N614">
        <v>4500</v>
      </c>
      <c r="O614">
        <v>15</v>
      </c>
      <c r="P614">
        <v>67500</v>
      </c>
      <c r="Q614">
        <v>100.38</v>
      </c>
      <c r="R614" t="s">
        <v>46</v>
      </c>
      <c r="S614" t="s">
        <v>47</v>
      </c>
      <c r="T614">
        <f t="shared" si="38"/>
        <v>0</v>
      </c>
      <c r="U614" t="str">
        <f t="shared" si="39"/>
        <v>24+ Months</v>
      </c>
    </row>
    <row r="615" spans="1:21">
      <c r="A615" t="s">
        <v>968</v>
      </c>
      <c r="B615" t="s">
        <v>54</v>
      </c>
      <c r="C615" s="2" t="s">
        <v>966</v>
      </c>
      <c r="D615" s="2" t="str">
        <f t="shared" si="36"/>
        <v>Ejiro Barker</v>
      </c>
      <c r="E615">
        <v>29</v>
      </c>
      <c r="F615" s="3" t="str">
        <f t="shared" si="37"/>
        <v>20-29</v>
      </c>
      <c r="G615" t="s">
        <v>159</v>
      </c>
      <c r="H615" t="s">
        <v>43</v>
      </c>
      <c r="I615" t="s">
        <v>36</v>
      </c>
      <c r="J615">
        <v>2</v>
      </c>
      <c r="K615" t="s">
        <v>27</v>
      </c>
      <c r="L615">
        <v>56</v>
      </c>
      <c r="M615" t="s">
        <v>52</v>
      </c>
      <c r="N615">
        <v>9000</v>
      </c>
      <c r="O615">
        <v>17</v>
      </c>
      <c r="P615">
        <v>153000</v>
      </c>
      <c r="Q615">
        <v>8.43</v>
      </c>
      <c r="R615" t="s">
        <v>46</v>
      </c>
      <c r="S615" t="s">
        <v>47</v>
      </c>
      <c r="T615">
        <f t="shared" si="38"/>
        <v>0</v>
      </c>
      <c r="U615" t="str">
        <f t="shared" si="39"/>
        <v>24+ Months</v>
      </c>
    </row>
    <row r="616" spans="1:21">
      <c r="A616" t="s">
        <v>969</v>
      </c>
      <c r="B616" t="s">
        <v>169</v>
      </c>
      <c r="C616" s="2" t="s">
        <v>312</v>
      </c>
      <c r="D616" s="2" t="str">
        <f t="shared" si="36"/>
        <v>Maryam Hernandez</v>
      </c>
      <c r="E616">
        <v>58</v>
      </c>
      <c r="F616" s="3" t="str">
        <f t="shared" si="37"/>
        <v>50-59</v>
      </c>
      <c r="G616" t="s">
        <v>117</v>
      </c>
      <c r="H616" t="s">
        <v>43</v>
      </c>
      <c r="I616" t="s">
        <v>36</v>
      </c>
      <c r="J616">
        <v>1</v>
      </c>
      <c r="K616" t="s">
        <v>44</v>
      </c>
      <c r="L616">
        <v>48</v>
      </c>
      <c r="M616" t="s">
        <v>78</v>
      </c>
      <c r="N616">
        <v>24000</v>
      </c>
      <c r="O616">
        <v>17</v>
      </c>
      <c r="P616">
        <v>408000</v>
      </c>
      <c r="Q616">
        <v>47.62</v>
      </c>
      <c r="R616" t="s">
        <v>46</v>
      </c>
      <c r="S616" t="s">
        <v>47</v>
      </c>
      <c r="T616">
        <f t="shared" si="38"/>
        <v>0</v>
      </c>
      <c r="U616" t="str">
        <f t="shared" si="39"/>
        <v>24+ Months</v>
      </c>
    </row>
    <row r="617" spans="1:21">
      <c r="A617" t="s">
        <v>970</v>
      </c>
      <c r="B617" t="s">
        <v>169</v>
      </c>
      <c r="C617" s="2" t="s">
        <v>312</v>
      </c>
      <c r="D617" s="2" t="str">
        <f t="shared" si="36"/>
        <v>Maryam Hernandez</v>
      </c>
      <c r="E617">
        <v>58</v>
      </c>
      <c r="F617" s="3" t="str">
        <f t="shared" si="37"/>
        <v>50-59</v>
      </c>
      <c r="G617" t="s">
        <v>117</v>
      </c>
      <c r="H617" t="s">
        <v>35</v>
      </c>
      <c r="I617" t="s">
        <v>36</v>
      </c>
      <c r="J617">
        <v>1</v>
      </c>
      <c r="K617" t="s">
        <v>44</v>
      </c>
      <c r="L617">
        <v>48</v>
      </c>
      <c r="M617" t="s">
        <v>49</v>
      </c>
      <c r="N617">
        <v>500</v>
      </c>
      <c r="O617">
        <v>9</v>
      </c>
      <c r="P617">
        <v>4500</v>
      </c>
      <c r="Q617">
        <v>162.47</v>
      </c>
      <c r="R617" t="s">
        <v>46</v>
      </c>
      <c r="S617" t="s">
        <v>47</v>
      </c>
      <c r="T617">
        <f t="shared" si="38"/>
        <v>0</v>
      </c>
      <c r="U617" t="str">
        <f t="shared" si="39"/>
        <v>24+ Months</v>
      </c>
    </row>
    <row r="618" spans="1:21">
      <c r="A618" t="s">
        <v>971</v>
      </c>
      <c r="B618" t="s">
        <v>358</v>
      </c>
      <c r="C618" s="2" t="s">
        <v>972</v>
      </c>
      <c r="D618" s="2" t="str">
        <f t="shared" si="36"/>
        <v>Omamuzo King</v>
      </c>
      <c r="E618">
        <v>19</v>
      </c>
      <c r="F618" s="3" t="str">
        <f t="shared" si="37"/>
        <v>10-19</v>
      </c>
      <c r="G618" t="s">
        <v>263</v>
      </c>
      <c r="H618" t="s">
        <v>35</v>
      </c>
      <c r="I618" t="s">
        <v>26</v>
      </c>
      <c r="J618">
        <v>4</v>
      </c>
      <c r="K618" t="s">
        <v>155</v>
      </c>
      <c r="L618">
        <v>10</v>
      </c>
      <c r="M618" t="s">
        <v>93</v>
      </c>
      <c r="N618">
        <v>350</v>
      </c>
      <c r="O618">
        <v>19</v>
      </c>
      <c r="P618">
        <v>6650</v>
      </c>
      <c r="Q618">
        <v>83.76</v>
      </c>
      <c r="R618" t="s">
        <v>46</v>
      </c>
      <c r="S618" t="s">
        <v>47</v>
      </c>
      <c r="T618">
        <f t="shared" si="38"/>
        <v>0</v>
      </c>
      <c r="U618" t="str">
        <f t="shared" si="39"/>
        <v>7-12 Months</v>
      </c>
    </row>
    <row r="619" spans="1:21">
      <c r="A619" t="s">
        <v>973</v>
      </c>
      <c r="B619" t="s">
        <v>134</v>
      </c>
      <c r="C619" s="2" t="s">
        <v>196</v>
      </c>
      <c r="D619" s="2" t="str">
        <f t="shared" si="36"/>
        <v>Obinna Anderson</v>
      </c>
      <c r="E619">
        <v>70</v>
      </c>
      <c r="F619" s="3" t="str">
        <f t="shared" si="37"/>
        <v>70-79</v>
      </c>
      <c r="G619" t="s">
        <v>206</v>
      </c>
      <c r="H619" t="s">
        <v>25</v>
      </c>
      <c r="I619" t="s">
        <v>36</v>
      </c>
      <c r="J619">
        <v>2</v>
      </c>
      <c r="K619" t="s">
        <v>27</v>
      </c>
      <c r="L619">
        <v>29</v>
      </c>
      <c r="M619" t="s">
        <v>57</v>
      </c>
      <c r="N619">
        <v>4500</v>
      </c>
      <c r="O619">
        <v>5</v>
      </c>
      <c r="P619">
        <v>22500</v>
      </c>
      <c r="Q619">
        <v>86.3</v>
      </c>
      <c r="R619" t="s">
        <v>46</v>
      </c>
      <c r="S619" t="s">
        <v>47</v>
      </c>
      <c r="T619">
        <f t="shared" si="38"/>
        <v>0</v>
      </c>
      <c r="U619" t="str">
        <f t="shared" si="39"/>
        <v>24+ Months</v>
      </c>
    </row>
    <row r="620" spans="1:21">
      <c r="A620" t="s">
        <v>974</v>
      </c>
      <c r="B620" t="s">
        <v>134</v>
      </c>
      <c r="C620" s="2" t="s">
        <v>196</v>
      </c>
      <c r="D620" s="2" t="str">
        <f t="shared" si="36"/>
        <v>Obinna Anderson</v>
      </c>
      <c r="E620">
        <v>70</v>
      </c>
      <c r="F620" s="3" t="str">
        <f t="shared" si="37"/>
        <v>70-79</v>
      </c>
      <c r="G620" t="s">
        <v>206</v>
      </c>
      <c r="H620" t="s">
        <v>51</v>
      </c>
      <c r="I620" t="s">
        <v>36</v>
      </c>
      <c r="J620">
        <v>2</v>
      </c>
      <c r="K620" t="s">
        <v>27</v>
      </c>
      <c r="L620">
        <v>29</v>
      </c>
      <c r="M620" t="s">
        <v>78</v>
      </c>
      <c r="N620">
        <v>24000</v>
      </c>
      <c r="O620">
        <v>11</v>
      </c>
      <c r="P620">
        <v>264000</v>
      </c>
      <c r="Q620">
        <v>183.46</v>
      </c>
      <c r="R620" t="s">
        <v>46</v>
      </c>
      <c r="S620" t="s">
        <v>47</v>
      </c>
      <c r="T620">
        <f t="shared" si="38"/>
        <v>0</v>
      </c>
      <c r="U620" t="str">
        <f t="shared" si="39"/>
        <v>24+ Months</v>
      </c>
    </row>
    <row r="621" spans="1:21">
      <c r="A621" t="s">
        <v>975</v>
      </c>
      <c r="B621" t="s">
        <v>134</v>
      </c>
      <c r="C621" s="2" t="s">
        <v>196</v>
      </c>
      <c r="D621" s="2" t="str">
        <f t="shared" si="36"/>
        <v>Obinna Anderson</v>
      </c>
      <c r="E621">
        <v>70</v>
      </c>
      <c r="F621" s="3" t="str">
        <f t="shared" si="37"/>
        <v>70-79</v>
      </c>
      <c r="G621" t="s">
        <v>206</v>
      </c>
      <c r="H621" t="s">
        <v>35</v>
      </c>
      <c r="I621" t="s">
        <v>36</v>
      </c>
      <c r="J621">
        <v>2</v>
      </c>
      <c r="K621" t="s">
        <v>27</v>
      </c>
      <c r="L621">
        <v>29</v>
      </c>
      <c r="M621" t="s">
        <v>108</v>
      </c>
      <c r="N621">
        <v>1000</v>
      </c>
      <c r="O621">
        <v>4</v>
      </c>
      <c r="P621">
        <v>4000</v>
      </c>
      <c r="Q621">
        <v>111.69</v>
      </c>
      <c r="R621" t="s">
        <v>46</v>
      </c>
      <c r="S621" t="s">
        <v>47</v>
      </c>
      <c r="T621">
        <f t="shared" si="38"/>
        <v>0</v>
      </c>
      <c r="U621" t="str">
        <f t="shared" si="39"/>
        <v>24+ Months</v>
      </c>
    </row>
    <row r="622" spans="1:21">
      <c r="A622" t="s">
        <v>976</v>
      </c>
      <c r="B622" t="s">
        <v>149</v>
      </c>
      <c r="C622" s="2" t="s">
        <v>425</v>
      </c>
      <c r="D622" s="2" t="str">
        <f t="shared" si="36"/>
        <v>Shehu Rogers</v>
      </c>
      <c r="E622">
        <v>56</v>
      </c>
      <c r="F622" s="3" t="str">
        <f t="shared" si="37"/>
        <v>50-59</v>
      </c>
      <c r="G622" t="s">
        <v>67</v>
      </c>
      <c r="H622" t="s">
        <v>35</v>
      </c>
      <c r="I622" t="s">
        <v>26</v>
      </c>
      <c r="J622">
        <v>4</v>
      </c>
      <c r="K622" t="s">
        <v>155</v>
      </c>
      <c r="L622">
        <v>49</v>
      </c>
      <c r="M622" t="s">
        <v>49</v>
      </c>
      <c r="N622">
        <v>500</v>
      </c>
      <c r="O622">
        <v>7</v>
      </c>
      <c r="P622">
        <v>3500</v>
      </c>
      <c r="Q622">
        <v>30.82</v>
      </c>
      <c r="R622" t="s">
        <v>46</v>
      </c>
      <c r="S622" t="s">
        <v>47</v>
      </c>
      <c r="T622">
        <f t="shared" si="38"/>
        <v>0</v>
      </c>
      <c r="U622" t="str">
        <f t="shared" si="39"/>
        <v>24+ Months</v>
      </c>
    </row>
    <row r="623" spans="1:21">
      <c r="A623" t="s">
        <v>977</v>
      </c>
      <c r="B623" t="s">
        <v>149</v>
      </c>
      <c r="C623" s="2" t="s">
        <v>425</v>
      </c>
      <c r="D623" s="2" t="str">
        <f t="shared" si="36"/>
        <v>Shehu Rogers</v>
      </c>
      <c r="E623">
        <v>56</v>
      </c>
      <c r="F623" s="3" t="str">
        <f t="shared" si="37"/>
        <v>50-59</v>
      </c>
      <c r="G623" t="s">
        <v>67</v>
      </c>
      <c r="H623" t="s">
        <v>43</v>
      </c>
      <c r="I623" t="s">
        <v>26</v>
      </c>
      <c r="J623">
        <v>4</v>
      </c>
      <c r="K623" t="s">
        <v>155</v>
      </c>
      <c r="L623">
        <v>49</v>
      </c>
      <c r="M623" t="s">
        <v>45</v>
      </c>
      <c r="N623">
        <v>20000</v>
      </c>
      <c r="O623">
        <v>1</v>
      </c>
      <c r="P623">
        <v>20000</v>
      </c>
      <c r="Q623">
        <v>26.74</v>
      </c>
      <c r="R623" t="s">
        <v>46</v>
      </c>
      <c r="S623" t="s">
        <v>47</v>
      </c>
      <c r="T623">
        <f t="shared" si="38"/>
        <v>0</v>
      </c>
      <c r="U623" t="str">
        <f t="shared" si="39"/>
        <v>24+ Months</v>
      </c>
    </row>
    <row r="624" spans="1:21" hidden="1">
      <c r="A624" t="s">
        <v>978</v>
      </c>
      <c r="B624" t="s">
        <v>32</v>
      </c>
      <c r="C624" s="2" t="s">
        <v>297</v>
      </c>
      <c r="D624" s="2" t="str">
        <f t="shared" si="36"/>
        <v>Zainab Shaw</v>
      </c>
      <c r="E624">
        <v>45</v>
      </c>
      <c r="F624" s="3" t="str">
        <f t="shared" si="37"/>
        <v>40-49</v>
      </c>
      <c r="G624" t="s">
        <v>154</v>
      </c>
      <c r="H624" t="s">
        <v>25</v>
      </c>
      <c r="I624" t="s">
        <v>26</v>
      </c>
      <c r="J624">
        <v>3</v>
      </c>
      <c r="K624" t="s">
        <v>62</v>
      </c>
      <c r="L624">
        <v>44</v>
      </c>
      <c r="M624" t="s">
        <v>28</v>
      </c>
      <c r="N624">
        <v>35000</v>
      </c>
      <c r="O624">
        <v>12</v>
      </c>
      <c r="P624">
        <v>420000</v>
      </c>
      <c r="Q624">
        <v>142.55000000000001</v>
      </c>
      <c r="R624" t="s">
        <v>29</v>
      </c>
      <c r="S624" t="s">
        <v>38</v>
      </c>
      <c r="T624">
        <f t="shared" si="38"/>
        <v>420000</v>
      </c>
      <c r="U624" t="str">
        <f t="shared" si="39"/>
        <v>24+ Months</v>
      </c>
    </row>
    <row r="625" spans="1:21" hidden="1">
      <c r="A625" t="s">
        <v>979</v>
      </c>
      <c r="B625" t="s">
        <v>32</v>
      </c>
      <c r="C625" s="2" t="s">
        <v>297</v>
      </c>
      <c r="D625" s="2" t="str">
        <f t="shared" si="36"/>
        <v>Zainab Shaw</v>
      </c>
      <c r="E625">
        <v>45</v>
      </c>
      <c r="F625" s="3" t="str">
        <f t="shared" si="37"/>
        <v>40-49</v>
      </c>
      <c r="G625" t="s">
        <v>154</v>
      </c>
      <c r="H625" t="s">
        <v>43</v>
      </c>
      <c r="I625" t="s">
        <v>26</v>
      </c>
      <c r="J625">
        <v>3</v>
      </c>
      <c r="K625" t="s">
        <v>62</v>
      </c>
      <c r="L625">
        <v>44</v>
      </c>
      <c r="M625" t="s">
        <v>82</v>
      </c>
      <c r="N625">
        <v>30000</v>
      </c>
      <c r="O625">
        <v>16</v>
      </c>
      <c r="P625">
        <v>480000</v>
      </c>
      <c r="Q625">
        <v>170.5</v>
      </c>
      <c r="R625" t="s">
        <v>29</v>
      </c>
      <c r="S625" t="s">
        <v>38</v>
      </c>
      <c r="T625">
        <f t="shared" si="38"/>
        <v>480000</v>
      </c>
      <c r="U625" t="str">
        <f t="shared" si="39"/>
        <v>24+ Months</v>
      </c>
    </row>
    <row r="626" spans="1:21">
      <c r="A626" t="s">
        <v>980</v>
      </c>
      <c r="B626" t="s">
        <v>369</v>
      </c>
      <c r="C626" s="2" t="s">
        <v>533</v>
      </c>
      <c r="D626" s="2" t="str">
        <f t="shared" si="36"/>
        <v>John Martinez</v>
      </c>
      <c r="E626">
        <v>33</v>
      </c>
      <c r="F626" s="3" t="str">
        <f t="shared" si="37"/>
        <v>30-39</v>
      </c>
      <c r="G626" t="s">
        <v>34</v>
      </c>
      <c r="H626" t="s">
        <v>43</v>
      </c>
      <c r="I626" t="s">
        <v>26</v>
      </c>
      <c r="J626">
        <v>4</v>
      </c>
      <c r="K626" t="s">
        <v>155</v>
      </c>
      <c r="L626">
        <v>15</v>
      </c>
      <c r="M626" t="s">
        <v>143</v>
      </c>
      <c r="N626">
        <v>75000</v>
      </c>
      <c r="O626">
        <v>7</v>
      </c>
      <c r="P626">
        <v>525000</v>
      </c>
      <c r="Q626">
        <v>44.9</v>
      </c>
      <c r="R626" t="s">
        <v>46</v>
      </c>
      <c r="S626" t="s">
        <v>47</v>
      </c>
      <c r="T626">
        <f t="shared" si="38"/>
        <v>0</v>
      </c>
      <c r="U626" t="str">
        <f t="shared" si="39"/>
        <v>13-24 Months</v>
      </c>
    </row>
    <row r="627" spans="1:21">
      <c r="A627" t="s">
        <v>981</v>
      </c>
      <c r="B627" t="s">
        <v>335</v>
      </c>
      <c r="C627" s="2" t="s">
        <v>982</v>
      </c>
      <c r="D627" s="2" t="str">
        <f t="shared" si="36"/>
        <v>Fatima Powell</v>
      </c>
      <c r="E627">
        <v>24</v>
      </c>
      <c r="F627" s="3" t="str">
        <f t="shared" si="37"/>
        <v>20-29</v>
      </c>
      <c r="G627" t="s">
        <v>179</v>
      </c>
      <c r="H627" t="s">
        <v>35</v>
      </c>
      <c r="I627" t="s">
        <v>36</v>
      </c>
      <c r="J627">
        <v>3</v>
      </c>
      <c r="K627" t="s">
        <v>62</v>
      </c>
      <c r="L627">
        <v>56</v>
      </c>
      <c r="M627" t="s">
        <v>113</v>
      </c>
      <c r="N627">
        <v>7500</v>
      </c>
      <c r="O627">
        <v>20</v>
      </c>
      <c r="P627">
        <v>150000</v>
      </c>
      <c r="Q627">
        <v>155.35</v>
      </c>
      <c r="R627" t="s">
        <v>46</v>
      </c>
      <c r="S627" t="s">
        <v>47</v>
      </c>
      <c r="T627">
        <f t="shared" si="38"/>
        <v>0</v>
      </c>
      <c r="U627" t="str">
        <f t="shared" si="39"/>
        <v>24+ Months</v>
      </c>
    </row>
    <row r="628" spans="1:21">
      <c r="A628" t="s">
        <v>983</v>
      </c>
      <c r="B628" t="s">
        <v>358</v>
      </c>
      <c r="C628" s="2" t="s">
        <v>392</v>
      </c>
      <c r="D628" s="2" t="str">
        <f t="shared" si="36"/>
        <v>Omamuzo Perez</v>
      </c>
      <c r="E628">
        <v>56</v>
      </c>
      <c r="F628" s="3" t="str">
        <f t="shared" si="37"/>
        <v>50-59</v>
      </c>
      <c r="G628" t="s">
        <v>106</v>
      </c>
      <c r="H628" t="s">
        <v>25</v>
      </c>
      <c r="I628" t="s">
        <v>26</v>
      </c>
      <c r="J628">
        <v>4</v>
      </c>
      <c r="K628" t="s">
        <v>155</v>
      </c>
      <c r="L628">
        <v>34</v>
      </c>
      <c r="M628" t="s">
        <v>28</v>
      </c>
      <c r="N628">
        <v>35000</v>
      </c>
      <c r="O628">
        <v>2</v>
      </c>
      <c r="P628">
        <v>70000</v>
      </c>
      <c r="Q628">
        <v>196.77</v>
      </c>
      <c r="R628" t="s">
        <v>46</v>
      </c>
      <c r="S628" t="s">
        <v>47</v>
      </c>
      <c r="T628">
        <f t="shared" si="38"/>
        <v>0</v>
      </c>
      <c r="U628" t="str">
        <f t="shared" si="39"/>
        <v>24+ Months</v>
      </c>
    </row>
    <row r="629" spans="1:21">
      <c r="A629" t="s">
        <v>984</v>
      </c>
      <c r="B629" t="s">
        <v>358</v>
      </c>
      <c r="C629" s="2" t="s">
        <v>985</v>
      </c>
      <c r="D629" s="2" t="str">
        <f t="shared" si="36"/>
        <v>Omamuzo Schwartz</v>
      </c>
      <c r="E629">
        <v>22</v>
      </c>
      <c r="F629" s="3" t="str">
        <f t="shared" si="37"/>
        <v>20-29</v>
      </c>
      <c r="G629" t="s">
        <v>162</v>
      </c>
      <c r="H629" t="s">
        <v>35</v>
      </c>
      <c r="I629" t="s">
        <v>36</v>
      </c>
      <c r="J629">
        <v>3</v>
      </c>
      <c r="K629" t="s">
        <v>62</v>
      </c>
      <c r="L629">
        <v>29</v>
      </c>
      <c r="M629" t="s">
        <v>113</v>
      </c>
      <c r="N629">
        <v>7500</v>
      </c>
      <c r="O629">
        <v>2</v>
      </c>
      <c r="P629">
        <v>15000</v>
      </c>
      <c r="Q629">
        <v>59.24</v>
      </c>
      <c r="R629" t="s">
        <v>46</v>
      </c>
      <c r="S629" t="s">
        <v>47</v>
      </c>
      <c r="T629">
        <f t="shared" si="38"/>
        <v>0</v>
      </c>
      <c r="U629" t="str">
        <f t="shared" si="39"/>
        <v>24+ Months</v>
      </c>
    </row>
    <row r="630" spans="1:21">
      <c r="A630" t="s">
        <v>986</v>
      </c>
      <c r="B630" t="s">
        <v>358</v>
      </c>
      <c r="C630" s="2" t="s">
        <v>985</v>
      </c>
      <c r="D630" s="2" t="str">
        <f t="shared" si="36"/>
        <v>Omamuzo Schwartz</v>
      </c>
      <c r="E630">
        <v>22</v>
      </c>
      <c r="F630" s="3" t="str">
        <f t="shared" si="37"/>
        <v>20-29</v>
      </c>
      <c r="G630" t="s">
        <v>162</v>
      </c>
      <c r="H630" t="s">
        <v>51</v>
      </c>
      <c r="I630" t="s">
        <v>36</v>
      </c>
      <c r="J630">
        <v>3</v>
      </c>
      <c r="K630" t="s">
        <v>62</v>
      </c>
      <c r="L630">
        <v>29</v>
      </c>
      <c r="M630" t="s">
        <v>78</v>
      </c>
      <c r="N630">
        <v>24000</v>
      </c>
      <c r="O630">
        <v>15</v>
      </c>
      <c r="P630">
        <v>360000</v>
      </c>
      <c r="Q630">
        <v>180.78</v>
      </c>
      <c r="R630" t="s">
        <v>46</v>
      </c>
      <c r="S630" t="s">
        <v>47</v>
      </c>
      <c r="T630">
        <f t="shared" si="38"/>
        <v>0</v>
      </c>
      <c r="U630" t="str">
        <f t="shared" si="39"/>
        <v>24+ Months</v>
      </c>
    </row>
    <row r="631" spans="1:21">
      <c r="A631" t="s">
        <v>987</v>
      </c>
      <c r="B631" t="s">
        <v>182</v>
      </c>
      <c r="C631" s="2" t="s">
        <v>573</v>
      </c>
      <c r="D631" s="2" t="str">
        <f t="shared" si="36"/>
        <v>Alabo Jackson</v>
      </c>
      <c r="E631">
        <v>27</v>
      </c>
      <c r="F631" s="3" t="str">
        <f t="shared" si="37"/>
        <v>20-29</v>
      </c>
      <c r="G631" t="s">
        <v>260</v>
      </c>
      <c r="H631" t="s">
        <v>51</v>
      </c>
      <c r="I631" t="s">
        <v>26</v>
      </c>
      <c r="J631">
        <v>4</v>
      </c>
      <c r="K631" t="s">
        <v>155</v>
      </c>
      <c r="L631">
        <v>12</v>
      </c>
      <c r="M631" t="s">
        <v>91</v>
      </c>
      <c r="N631">
        <v>14500</v>
      </c>
      <c r="O631">
        <v>7</v>
      </c>
      <c r="P631">
        <v>101500</v>
      </c>
      <c r="Q631">
        <v>118.27</v>
      </c>
      <c r="R631" t="s">
        <v>46</v>
      </c>
      <c r="S631" t="s">
        <v>47</v>
      </c>
      <c r="T631">
        <f t="shared" si="38"/>
        <v>0</v>
      </c>
      <c r="U631" t="str">
        <f t="shared" si="39"/>
        <v>7-12 Months</v>
      </c>
    </row>
    <row r="632" spans="1:21">
      <c r="A632" t="s">
        <v>988</v>
      </c>
      <c r="B632" t="s">
        <v>182</v>
      </c>
      <c r="C632" s="2" t="s">
        <v>573</v>
      </c>
      <c r="D632" s="2" t="str">
        <f t="shared" si="36"/>
        <v>Alabo Jackson</v>
      </c>
      <c r="E632">
        <v>27</v>
      </c>
      <c r="F632" s="3" t="str">
        <f t="shared" si="37"/>
        <v>20-29</v>
      </c>
      <c r="G632" t="s">
        <v>260</v>
      </c>
      <c r="H632" t="s">
        <v>35</v>
      </c>
      <c r="I632" t="s">
        <v>26</v>
      </c>
      <c r="J632">
        <v>4</v>
      </c>
      <c r="K632" t="s">
        <v>155</v>
      </c>
      <c r="L632">
        <v>12</v>
      </c>
      <c r="M632" t="s">
        <v>37</v>
      </c>
      <c r="N632">
        <v>5500</v>
      </c>
      <c r="O632">
        <v>11</v>
      </c>
      <c r="P632">
        <v>60500</v>
      </c>
      <c r="Q632">
        <v>18.489999999999998</v>
      </c>
      <c r="R632" t="s">
        <v>46</v>
      </c>
      <c r="S632" t="s">
        <v>47</v>
      </c>
      <c r="T632">
        <f t="shared" si="38"/>
        <v>0</v>
      </c>
      <c r="U632" t="str">
        <f t="shared" si="39"/>
        <v>7-12 Months</v>
      </c>
    </row>
    <row r="633" spans="1:21" hidden="1">
      <c r="A633" t="s">
        <v>989</v>
      </c>
      <c r="B633" t="s">
        <v>192</v>
      </c>
      <c r="C633" s="2" t="s">
        <v>467</v>
      </c>
      <c r="D633" s="2" t="str">
        <f t="shared" si="36"/>
        <v>Amina Nguyen</v>
      </c>
      <c r="E633">
        <v>31</v>
      </c>
      <c r="F633" s="3" t="str">
        <f t="shared" si="37"/>
        <v>30-39</v>
      </c>
      <c r="G633" t="s">
        <v>415</v>
      </c>
      <c r="H633" t="s">
        <v>25</v>
      </c>
      <c r="I633" t="s">
        <v>26</v>
      </c>
      <c r="J633">
        <v>3</v>
      </c>
      <c r="K633" t="s">
        <v>62</v>
      </c>
      <c r="L633">
        <v>46</v>
      </c>
      <c r="M633" t="s">
        <v>28</v>
      </c>
      <c r="N633">
        <v>35000</v>
      </c>
      <c r="O633">
        <v>6</v>
      </c>
      <c r="P633">
        <v>210000</v>
      </c>
      <c r="Q633">
        <v>9.26</v>
      </c>
      <c r="R633" t="s">
        <v>29</v>
      </c>
      <c r="S633" t="s">
        <v>393</v>
      </c>
      <c r="T633">
        <f t="shared" si="38"/>
        <v>210000</v>
      </c>
      <c r="U633" t="str">
        <f t="shared" si="39"/>
        <v>24+ Months</v>
      </c>
    </row>
    <row r="634" spans="1:21" hidden="1">
      <c r="A634" t="s">
        <v>990</v>
      </c>
      <c r="B634" t="s">
        <v>192</v>
      </c>
      <c r="C634" s="2" t="s">
        <v>467</v>
      </c>
      <c r="D634" s="2" t="str">
        <f t="shared" si="36"/>
        <v>Amina Nguyen</v>
      </c>
      <c r="E634">
        <v>31</v>
      </c>
      <c r="F634" s="3" t="str">
        <f t="shared" si="37"/>
        <v>30-39</v>
      </c>
      <c r="G634" t="s">
        <v>415</v>
      </c>
      <c r="H634" t="s">
        <v>35</v>
      </c>
      <c r="I634" t="s">
        <v>26</v>
      </c>
      <c r="J634">
        <v>3</v>
      </c>
      <c r="K634" t="s">
        <v>62</v>
      </c>
      <c r="L634">
        <v>46</v>
      </c>
      <c r="M634" t="s">
        <v>69</v>
      </c>
      <c r="N634">
        <v>3500</v>
      </c>
      <c r="O634">
        <v>5</v>
      </c>
      <c r="P634">
        <v>17500</v>
      </c>
      <c r="Q634">
        <v>113.32</v>
      </c>
      <c r="R634" t="s">
        <v>29</v>
      </c>
      <c r="S634" t="s">
        <v>393</v>
      </c>
      <c r="T634">
        <f t="shared" si="38"/>
        <v>17500</v>
      </c>
      <c r="U634" t="str">
        <f t="shared" si="39"/>
        <v>24+ Months</v>
      </c>
    </row>
    <row r="635" spans="1:21">
      <c r="A635" t="s">
        <v>991</v>
      </c>
      <c r="B635" t="s">
        <v>192</v>
      </c>
      <c r="C635" s="2" t="s">
        <v>246</v>
      </c>
      <c r="D635" s="2" t="str">
        <f t="shared" si="36"/>
        <v>Amina Taylor</v>
      </c>
      <c r="E635">
        <v>34</v>
      </c>
      <c r="F635" s="3" t="str">
        <f t="shared" si="37"/>
        <v>30-39</v>
      </c>
      <c r="G635" t="s">
        <v>179</v>
      </c>
      <c r="H635" t="s">
        <v>43</v>
      </c>
      <c r="I635" t="s">
        <v>26</v>
      </c>
      <c r="J635">
        <v>3</v>
      </c>
      <c r="K635" t="s">
        <v>62</v>
      </c>
      <c r="L635">
        <v>27</v>
      </c>
      <c r="M635" t="s">
        <v>82</v>
      </c>
      <c r="N635">
        <v>30000</v>
      </c>
      <c r="O635">
        <v>5</v>
      </c>
      <c r="P635">
        <v>150000</v>
      </c>
      <c r="Q635">
        <v>23.95</v>
      </c>
      <c r="R635" t="s">
        <v>46</v>
      </c>
      <c r="S635" t="s">
        <v>47</v>
      </c>
      <c r="T635">
        <f t="shared" si="38"/>
        <v>0</v>
      </c>
      <c r="U635" t="str">
        <f t="shared" si="39"/>
        <v>24+ Months</v>
      </c>
    </row>
    <row r="636" spans="1:21">
      <c r="A636" t="s">
        <v>992</v>
      </c>
      <c r="B636" t="s">
        <v>192</v>
      </c>
      <c r="C636" s="2" t="s">
        <v>246</v>
      </c>
      <c r="D636" s="2" t="str">
        <f t="shared" si="36"/>
        <v>Amina Taylor</v>
      </c>
      <c r="E636">
        <v>34</v>
      </c>
      <c r="F636" s="3" t="str">
        <f t="shared" si="37"/>
        <v>30-39</v>
      </c>
      <c r="G636" t="s">
        <v>179</v>
      </c>
      <c r="H636" t="s">
        <v>35</v>
      </c>
      <c r="I636" t="s">
        <v>26</v>
      </c>
      <c r="J636">
        <v>3</v>
      </c>
      <c r="K636" t="s">
        <v>62</v>
      </c>
      <c r="L636">
        <v>27</v>
      </c>
      <c r="M636" t="s">
        <v>93</v>
      </c>
      <c r="N636">
        <v>350</v>
      </c>
      <c r="O636">
        <v>9</v>
      </c>
      <c r="P636">
        <v>3150</v>
      </c>
      <c r="Q636">
        <v>1.2</v>
      </c>
      <c r="R636" t="s">
        <v>46</v>
      </c>
      <c r="S636" t="s">
        <v>47</v>
      </c>
      <c r="T636">
        <f t="shared" si="38"/>
        <v>0</v>
      </c>
      <c r="U636" t="str">
        <f t="shared" si="39"/>
        <v>24+ Months</v>
      </c>
    </row>
    <row r="637" spans="1:21">
      <c r="A637" t="s">
        <v>993</v>
      </c>
      <c r="B637" t="s">
        <v>126</v>
      </c>
      <c r="C637" s="2" t="s">
        <v>190</v>
      </c>
      <c r="D637" s="2" t="str">
        <f t="shared" si="36"/>
        <v>Tunde Terry</v>
      </c>
      <c r="E637">
        <v>74</v>
      </c>
      <c r="F637" s="3" t="str">
        <f t="shared" si="37"/>
        <v>70-79</v>
      </c>
      <c r="G637" t="s">
        <v>117</v>
      </c>
      <c r="H637" t="s">
        <v>25</v>
      </c>
      <c r="I637" t="s">
        <v>36</v>
      </c>
      <c r="J637">
        <v>5</v>
      </c>
      <c r="K637" t="s">
        <v>68</v>
      </c>
      <c r="L637">
        <v>35</v>
      </c>
      <c r="M637" t="s">
        <v>28</v>
      </c>
      <c r="N637">
        <v>35000</v>
      </c>
      <c r="O637">
        <v>15</v>
      </c>
      <c r="P637">
        <v>525000</v>
      </c>
      <c r="Q637">
        <v>91.02</v>
      </c>
      <c r="R637" t="s">
        <v>46</v>
      </c>
      <c r="S637" t="s">
        <v>47</v>
      </c>
      <c r="T637">
        <f t="shared" si="38"/>
        <v>0</v>
      </c>
      <c r="U637" t="str">
        <f t="shared" si="39"/>
        <v>24+ Months</v>
      </c>
    </row>
    <row r="638" spans="1:21" hidden="1">
      <c r="A638" t="s">
        <v>994</v>
      </c>
      <c r="B638" t="s">
        <v>219</v>
      </c>
      <c r="C638" s="2" t="s">
        <v>995</v>
      </c>
      <c r="D638" s="2" t="str">
        <f t="shared" si="36"/>
        <v>Chinedu Krueger</v>
      </c>
      <c r="E638">
        <v>16</v>
      </c>
      <c r="F638" s="3" t="str">
        <f t="shared" si="37"/>
        <v>10-19</v>
      </c>
      <c r="G638" t="s">
        <v>89</v>
      </c>
      <c r="H638" t="s">
        <v>35</v>
      </c>
      <c r="I638" t="s">
        <v>36</v>
      </c>
      <c r="J638">
        <v>1</v>
      </c>
      <c r="K638" t="s">
        <v>44</v>
      </c>
      <c r="L638">
        <v>40</v>
      </c>
      <c r="M638" t="s">
        <v>137</v>
      </c>
      <c r="N638">
        <v>900</v>
      </c>
      <c r="O638">
        <v>20</v>
      </c>
      <c r="P638">
        <v>18000</v>
      </c>
      <c r="Q638">
        <v>133.57</v>
      </c>
      <c r="R638" t="s">
        <v>29</v>
      </c>
      <c r="S638" t="s">
        <v>97</v>
      </c>
      <c r="T638">
        <f t="shared" si="38"/>
        <v>18000</v>
      </c>
      <c r="U638" t="str">
        <f t="shared" si="39"/>
        <v>24+ Months</v>
      </c>
    </row>
    <row r="639" spans="1:21" hidden="1">
      <c r="A639" t="s">
        <v>996</v>
      </c>
      <c r="B639" t="s">
        <v>169</v>
      </c>
      <c r="C639" s="2" t="s">
        <v>997</v>
      </c>
      <c r="D639" s="2" t="str">
        <f t="shared" si="36"/>
        <v>Maryam Rhodes</v>
      </c>
      <c r="E639">
        <v>58</v>
      </c>
      <c r="F639" s="3" t="str">
        <f t="shared" si="37"/>
        <v>50-59</v>
      </c>
      <c r="G639" t="s">
        <v>415</v>
      </c>
      <c r="H639" t="s">
        <v>25</v>
      </c>
      <c r="I639" t="s">
        <v>26</v>
      </c>
      <c r="J639">
        <v>2</v>
      </c>
      <c r="K639" t="s">
        <v>27</v>
      </c>
      <c r="L639">
        <v>7</v>
      </c>
      <c r="M639" t="s">
        <v>73</v>
      </c>
      <c r="N639">
        <v>16000</v>
      </c>
      <c r="O639">
        <v>10</v>
      </c>
      <c r="P639">
        <v>160000</v>
      </c>
      <c r="Q639">
        <v>19.079999999999998</v>
      </c>
      <c r="R639" t="s">
        <v>29</v>
      </c>
      <c r="S639" t="s">
        <v>129</v>
      </c>
      <c r="T639">
        <f t="shared" si="38"/>
        <v>160000</v>
      </c>
      <c r="U639" t="str">
        <f t="shared" si="39"/>
        <v>7-12 Months</v>
      </c>
    </row>
    <row r="640" spans="1:21" hidden="1">
      <c r="A640" t="s">
        <v>998</v>
      </c>
      <c r="B640" t="s">
        <v>169</v>
      </c>
      <c r="C640" s="2" t="s">
        <v>997</v>
      </c>
      <c r="D640" s="2" t="str">
        <f t="shared" si="36"/>
        <v>Maryam Rhodes</v>
      </c>
      <c r="E640">
        <v>58</v>
      </c>
      <c r="F640" s="3" t="str">
        <f t="shared" si="37"/>
        <v>50-59</v>
      </c>
      <c r="G640" t="s">
        <v>415</v>
      </c>
      <c r="H640" t="s">
        <v>35</v>
      </c>
      <c r="I640" t="s">
        <v>26</v>
      </c>
      <c r="J640">
        <v>2</v>
      </c>
      <c r="K640" t="s">
        <v>27</v>
      </c>
      <c r="L640">
        <v>7</v>
      </c>
      <c r="M640" t="s">
        <v>69</v>
      </c>
      <c r="N640">
        <v>3500</v>
      </c>
      <c r="O640">
        <v>13</v>
      </c>
      <c r="P640">
        <v>45500</v>
      </c>
      <c r="Q640">
        <v>74.03</v>
      </c>
      <c r="R640" t="s">
        <v>29</v>
      </c>
      <c r="S640" t="s">
        <v>129</v>
      </c>
      <c r="T640">
        <f t="shared" si="38"/>
        <v>45500</v>
      </c>
      <c r="U640" t="str">
        <f t="shared" si="39"/>
        <v>7-12 Months</v>
      </c>
    </row>
    <row r="641" spans="1:21" hidden="1">
      <c r="A641" t="s">
        <v>999</v>
      </c>
      <c r="B641" t="s">
        <v>169</v>
      </c>
      <c r="C641" s="2" t="s">
        <v>997</v>
      </c>
      <c r="D641" s="2" t="str">
        <f t="shared" si="36"/>
        <v>Maryam Rhodes</v>
      </c>
      <c r="E641">
        <v>58</v>
      </c>
      <c r="F641" s="3" t="str">
        <f t="shared" si="37"/>
        <v>50-59</v>
      </c>
      <c r="G641" t="s">
        <v>415</v>
      </c>
      <c r="H641" t="s">
        <v>43</v>
      </c>
      <c r="I641" t="s">
        <v>26</v>
      </c>
      <c r="J641">
        <v>2</v>
      </c>
      <c r="K641" t="s">
        <v>27</v>
      </c>
      <c r="L641">
        <v>7</v>
      </c>
      <c r="M641" t="s">
        <v>45</v>
      </c>
      <c r="N641">
        <v>20000</v>
      </c>
      <c r="O641">
        <v>18</v>
      </c>
      <c r="P641">
        <v>360000</v>
      </c>
      <c r="Q641">
        <v>151.81</v>
      </c>
      <c r="R641" t="s">
        <v>29</v>
      </c>
      <c r="S641" t="s">
        <v>129</v>
      </c>
      <c r="T641">
        <f t="shared" si="38"/>
        <v>360000</v>
      </c>
      <c r="U641" t="str">
        <f t="shared" si="39"/>
        <v>7-12 Months</v>
      </c>
    </row>
    <row r="642" spans="1:21">
      <c r="A642" t="s">
        <v>1000</v>
      </c>
      <c r="B642" t="s">
        <v>121</v>
      </c>
      <c r="C642" s="2" t="s">
        <v>1001</v>
      </c>
      <c r="D642" s="2" t="str">
        <f t="shared" si="36"/>
        <v>Kunle Liu</v>
      </c>
      <c r="E642">
        <v>53</v>
      </c>
      <c r="F642" s="3" t="str">
        <f t="shared" si="37"/>
        <v>50-59</v>
      </c>
      <c r="G642" t="s">
        <v>292</v>
      </c>
      <c r="H642" t="s">
        <v>25</v>
      </c>
      <c r="I642" t="s">
        <v>26</v>
      </c>
      <c r="J642">
        <v>3</v>
      </c>
      <c r="K642" t="s">
        <v>62</v>
      </c>
      <c r="L642">
        <v>8</v>
      </c>
      <c r="M642" t="s">
        <v>73</v>
      </c>
      <c r="N642">
        <v>16000</v>
      </c>
      <c r="O642">
        <v>17</v>
      </c>
      <c r="P642">
        <v>272000</v>
      </c>
      <c r="Q642">
        <v>22.31</v>
      </c>
      <c r="R642" t="s">
        <v>46</v>
      </c>
      <c r="S642" t="s">
        <v>47</v>
      </c>
      <c r="T642">
        <f t="shared" si="38"/>
        <v>0</v>
      </c>
      <c r="U642" t="str">
        <f t="shared" si="39"/>
        <v>7-12 Months</v>
      </c>
    </row>
    <row r="643" spans="1:21">
      <c r="A643" t="s">
        <v>1002</v>
      </c>
      <c r="B643" t="s">
        <v>121</v>
      </c>
      <c r="C643" s="2" t="s">
        <v>1001</v>
      </c>
      <c r="D643" s="2" t="str">
        <f t="shared" ref="D643:D706" si="40">B643&amp;" "&amp;C643</f>
        <v>Kunle Liu</v>
      </c>
      <c r="E643">
        <v>53</v>
      </c>
      <c r="F643" s="3" t="str">
        <f t="shared" ref="F643:F706" si="41">FLOOR(E643, 10)&amp;"-"&amp;FLOOR(E643, 10)+9</f>
        <v>50-59</v>
      </c>
      <c r="G643" t="s">
        <v>292</v>
      </c>
      <c r="H643" t="s">
        <v>43</v>
      </c>
      <c r="I643" t="s">
        <v>26</v>
      </c>
      <c r="J643">
        <v>3</v>
      </c>
      <c r="K643" t="s">
        <v>62</v>
      </c>
      <c r="L643">
        <v>8</v>
      </c>
      <c r="M643" t="s">
        <v>45</v>
      </c>
      <c r="N643">
        <v>20000</v>
      </c>
      <c r="O643">
        <v>20</v>
      </c>
      <c r="P643">
        <v>400000</v>
      </c>
      <c r="Q643">
        <v>96.99</v>
      </c>
      <c r="R643" t="s">
        <v>46</v>
      </c>
      <c r="S643" t="s">
        <v>47</v>
      </c>
      <c r="T643">
        <f t="shared" ref="T643:T691" si="42">IF(R643="Yes",P643,0)</f>
        <v>0</v>
      </c>
      <c r="U643" t="str">
        <f t="shared" ref="U643:U691" si="43">IF(L643&lt;=6,"0-6 Months",
IF(L643&lt;=12,"7-12 Months",
IF(L643&lt;=24,"13-24 Months","24+ Months")))</f>
        <v>7-12 Months</v>
      </c>
    </row>
    <row r="644" spans="1:21">
      <c r="A644" t="s">
        <v>1003</v>
      </c>
      <c r="B644" t="s">
        <v>121</v>
      </c>
      <c r="C644" s="2" t="s">
        <v>1001</v>
      </c>
      <c r="D644" s="2" t="str">
        <f t="shared" si="40"/>
        <v>Kunle Liu</v>
      </c>
      <c r="E644">
        <v>53</v>
      </c>
      <c r="F644" s="3" t="str">
        <f t="shared" si="41"/>
        <v>50-59</v>
      </c>
      <c r="G644" t="s">
        <v>292</v>
      </c>
      <c r="H644" t="s">
        <v>51</v>
      </c>
      <c r="I644" t="s">
        <v>26</v>
      </c>
      <c r="J644">
        <v>3</v>
      </c>
      <c r="K644" t="s">
        <v>62</v>
      </c>
      <c r="L644">
        <v>8</v>
      </c>
      <c r="M644" t="s">
        <v>82</v>
      </c>
      <c r="N644">
        <v>30000</v>
      </c>
      <c r="O644">
        <v>11</v>
      </c>
      <c r="P644">
        <v>330000</v>
      </c>
      <c r="Q644">
        <v>85.7</v>
      </c>
      <c r="R644" t="s">
        <v>46</v>
      </c>
      <c r="S644" t="s">
        <v>47</v>
      </c>
      <c r="T644">
        <f t="shared" si="42"/>
        <v>0</v>
      </c>
      <c r="U644" t="str">
        <f t="shared" si="43"/>
        <v>7-12 Months</v>
      </c>
    </row>
    <row r="645" spans="1:21">
      <c r="A645" t="s">
        <v>1004</v>
      </c>
      <c r="B645" t="s">
        <v>40</v>
      </c>
      <c r="C645" s="2" t="s">
        <v>196</v>
      </c>
      <c r="D645" s="2" t="str">
        <f t="shared" si="40"/>
        <v>Saidu Anderson</v>
      </c>
      <c r="E645">
        <v>61</v>
      </c>
      <c r="F645" s="3" t="str">
        <f t="shared" si="41"/>
        <v>60-69</v>
      </c>
      <c r="G645" t="s">
        <v>194</v>
      </c>
      <c r="H645" t="s">
        <v>25</v>
      </c>
      <c r="I645" t="s">
        <v>36</v>
      </c>
      <c r="J645">
        <v>4</v>
      </c>
      <c r="K645" t="s">
        <v>155</v>
      </c>
      <c r="L645">
        <v>34</v>
      </c>
      <c r="M645" t="s">
        <v>57</v>
      </c>
      <c r="N645">
        <v>4500</v>
      </c>
      <c r="O645">
        <v>1</v>
      </c>
      <c r="P645">
        <v>4500</v>
      </c>
      <c r="Q645">
        <v>0.82</v>
      </c>
      <c r="R645" t="s">
        <v>46</v>
      </c>
      <c r="S645" t="s">
        <v>47</v>
      </c>
      <c r="T645">
        <f t="shared" si="42"/>
        <v>0</v>
      </c>
      <c r="U645" t="str">
        <f t="shared" si="43"/>
        <v>24+ Months</v>
      </c>
    </row>
    <row r="646" spans="1:21">
      <c r="A646" t="s">
        <v>1005</v>
      </c>
      <c r="B646" t="s">
        <v>40</v>
      </c>
      <c r="C646" s="2" t="s">
        <v>196</v>
      </c>
      <c r="D646" s="2" t="str">
        <f t="shared" si="40"/>
        <v>Saidu Anderson</v>
      </c>
      <c r="E646">
        <v>61</v>
      </c>
      <c r="F646" s="3" t="str">
        <f t="shared" si="41"/>
        <v>60-69</v>
      </c>
      <c r="G646" t="s">
        <v>194</v>
      </c>
      <c r="H646" t="s">
        <v>43</v>
      </c>
      <c r="I646" t="s">
        <v>36</v>
      </c>
      <c r="J646">
        <v>4</v>
      </c>
      <c r="K646" t="s">
        <v>155</v>
      </c>
      <c r="L646">
        <v>34</v>
      </c>
      <c r="M646" t="s">
        <v>71</v>
      </c>
      <c r="N646">
        <v>150000</v>
      </c>
      <c r="O646">
        <v>4</v>
      </c>
      <c r="P646">
        <v>600000</v>
      </c>
      <c r="Q646">
        <v>125.28</v>
      </c>
      <c r="R646" t="s">
        <v>46</v>
      </c>
      <c r="S646" t="s">
        <v>47</v>
      </c>
      <c r="T646">
        <f t="shared" si="42"/>
        <v>0</v>
      </c>
      <c r="U646" t="str">
        <f t="shared" si="43"/>
        <v>24+ Months</v>
      </c>
    </row>
    <row r="647" spans="1:21">
      <c r="A647" t="s">
        <v>1006</v>
      </c>
      <c r="B647" t="s">
        <v>40</v>
      </c>
      <c r="C647" s="2" t="s">
        <v>196</v>
      </c>
      <c r="D647" s="2" t="str">
        <f t="shared" si="40"/>
        <v>Saidu Anderson</v>
      </c>
      <c r="E647">
        <v>61</v>
      </c>
      <c r="F647" s="3" t="str">
        <f t="shared" si="41"/>
        <v>60-69</v>
      </c>
      <c r="G647" t="s">
        <v>194</v>
      </c>
      <c r="H647" t="s">
        <v>35</v>
      </c>
      <c r="I647" t="s">
        <v>36</v>
      </c>
      <c r="J647">
        <v>4</v>
      </c>
      <c r="K647" t="s">
        <v>155</v>
      </c>
      <c r="L647">
        <v>34</v>
      </c>
      <c r="M647" t="s">
        <v>93</v>
      </c>
      <c r="N647">
        <v>350</v>
      </c>
      <c r="O647">
        <v>14</v>
      </c>
      <c r="P647">
        <v>4900</v>
      </c>
      <c r="Q647">
        <v>160.01</v>
      </c>
      <c r="R647" t="s">
        <v>46</v>
      </c>
      <c r="S647" t="s">
        <v>47</v>
      </c>
      <c r="T647">
        <f t="shared" si="42"/>
        <v>0</v>
      </c>
      <c r="U647" t="str">
        <f t="shared" si="43"/>
        <v>24+ Months</v>
      </c>
    </row>
    <row r="648" spans="1:21">
      <c r="A648" t="s">
        <v>1007</v>
      </c>
      <c r="B648" t="s">
        <v>316</v>
      </c>
      <c r="C648" s="2" t="s">
        <v>642</v>
      </c>
      <c r="D648" s="2" t="str">
        <f t="shared" si="40"/>
        <v>Ibim Harrison</v>
      </c>
      <c r="E648">
        <v>21</v>
      </c>
      <c r="F648" s="3" t="str">
        <f t="shared" si="41"/>
        <v>20-29</v>
      </c>
      <c r="G648" t="s">
        <v>216</v>
      </c>
      <c r="H648" t="s">
        <v>43</v>
      </c>
      <c r="I648" t="s">
        <v>36</v>
      </c>
      <c r="J648">
        <v>1</v>
      </c>
      <c r="K648" t="s">
        <v>44</v>
      </c>
      <c r="L648">
        <v>36</v>
      </c>
      <c r="M648" t="s">
        <v>78</v>
      </c>
      <c r="N648">
        <v>24000</v>
      </c>
      <c r="O648">
        <v>18</v>
      </c>
      <c r="P648">
        <v>432000</v>
      </c>
      <c r="Q648">
        <v>60.41</v>
      </c>
      <c r="R648" t="s">
        <v>46</v>
      </c>
      <c r="S648" t="s">
        <v>47</v>
      </c>
      <c r="T648">
        <f t="shared" si="42"/>
        <v>0</v>
      </c>
      <c r="U648" t="str">
        <f t="shared" si="43"/>
        <v>24+ Months</v>
      </c>
    </row>
    <row r="649" spans="1:21">
      <c r="A649" t="s">
        <v>1008</v>
      </c>
      <c r="B649" t="s">
        <v>316</v>
      </c>
      <c r="C649" s="2" t="s">
        <v>642</v>
      </c>
      <c r="D649" s="2" t="str">
        <f t="shared" si="40"/>
        <v>Ibim Harrison</v>
      </c>
      <c r="E649">
        <v>21</v>
      </c>
      <c r="F649" s="3" t="str">
        <f t="shared" si="41"/>
        <v>20-29</v>
      </c>
      <c r="G649" t="s">
        <v>216</v>
      </c>
      <c r="H649" t="s">
        <v>25</v>
      </c>
      <c r="I649" t="s">
        <v>36</v>
      </c>
      <c r="J649">
        <v>1</v>
      </c>
      <c r="K649" t="s">
        <v>44</v>
      </c>
      <c r="L649">
        <v>36</v>
      </c>
      <c r="M649" t="s">
        <v>63</v>
      </c>
      <c r="N649">
        <v>9000</v>
      </c>
      <c r="O649">
        <v>4</v>
      </c>
      <c r="P649">
        <v>36000</v>
      </c>
      <c r="Q649">
        <v>153.52000000000001</v>
      </c>
      <c r="R649" t="s">
        <v>46</v>
      </c>
      <c r="S649" t="s">
        <v>47</v>
      </c>
      <c r="T649">
        <f t="shared" si="42"/>
        <v>0</v>
      </c>
      <c r="U649" t="str">
        <f t="shared" si="43"/>
        <v>24+ Months</v>
      </c>
    </row>
    <row r="650" spans="1:21">
      <c r="A650" t="s">
        <v>1009</v>
      </c>
      <c r="B650" t="s">
        <v>316</v>
      </c>
      <c r="C650" s="2" t="s">
        <v>642</v>
      </c>
      <c r="D650" s="2" t="str">
        <f t="shared" si="40"/>
        <v>Ibim Harrison</v>
      </c>
      <c r="E650">
        <v>21</v>
      </c>
      <c r="F650" s="3" t="str">
        <f t="shared" si="41"/>
        <v>20-29</v>
      </c>
      <c r="G650" t="s">
        <v>216</v>
      </c>
      <c r="H650" t="s">
        <v>51</v>
      </c>
      <c r="I650" t="s">
        <v>36</v>
      </c>
      <c r="J650">
        <v>1</v>
      </c>
      <c r="K650" t="s">
        <v>44</v>
      </c>
      <c r="L650">
        <v>36</v>
      </c>
      <c r="M650" t="s">
        <v>82</v>
      </c>
      <c r="N650">
        <v>30000</v>
      </c>
      <c r="O650">
        <v>19</v>
      </c>
      <c r="P650">
        <v>570000</v>
      </c>
      <c r="Q650">
        <v>68.599999999999994</v>
      </c>
      <c r="R650" t="s">
        <v>46</v>
      </c>
      <c r="S650" t="s">
        <v>47</v>
      </c>
      <c r="T650">
        <f t="shared" si="42"/>
        <v>0</v>
      </c>
      <c r="U650" t="str">
        <f t="shared" si="43"/>
        <v>24+ Months</v>
      </c>
    </row>
    <row r="651" spans="1:21">
      <c r="A651" t="s">
        <v>1010</v>
      </c>
      <c r="B651" t="s">
        <v>490</v>
      </c>
      <c r="C651" s="2" t="s">
        <v>1011</v>
      </c>
      <c r="D651" s="2" t="str">
        <f t="shared" si="40"/>
        <v>Funke Francis</v>
      </c>
      <c r="E651">
        <v>38</v>
      </c>
      <c r="F651" s="3" t="str">
        <f t="shared" si="41"/>
        <v>30-39</v>
      </c>
      <c r="G651" t="s">
        <v>162</v>
      </c>
      <c r="H651" t="s">
        <v>25</v>
      </c>
      <c r="I651" t="s">
        <v>36</v>
      </c>
      <c r="J651">
        <v>4</v>
      </c>
      <c r="K651" t="s">
        <v>155</v>
      </c>
      <c r="L651">
        <v>54</v>
      </c>
      <c r="M651" t="s">
        <v>28</v>
      </c>
      <c r="N651">
        <v>35000</v>
      </c>
      <c r="O651">
        <v>15</v>
      </c>
      <c r="P651">
        <v>525000</v>
      </c>
      <c r="Q651">
        <v>31.5</v>
      </c>
      <c r="R651" t="s">
        <v>46</v>
      </c>
      <c r="S651" t="s">
        <v>47</v>
      </c>
      <c r="T651">
        <f t="shared" si="42"/>
        <v>0</v>
      </c>
      <c r="U651" t="str">
        <f t="shared" si="43"/>
        <v>24+ Months</v>
      </c>
    </row>
    <row r="652" spans="1:21" hidden="1">
      <c r="A652" t="s">
        <v>1012</v>
      </c>
      <c r="B652" t="s">
        <v>131</v>
      </c>
      <c r="C652" s="2" t="s">
        <v>1013</v>
      </c>
      <c r="D652" s="2" t="str">
        <f t="shared" si="40"/>
        <v>David Ward</v>
      </c>
      <c r="E652">
        <v>58</v>
      </c>
      <c r="F652" s="3" t="str">
        <f t="shared" si="41"/>
        <v>50-59</v>
      </c>
      <c r="G652" t="s">
        <v>42</v>
      </c>
      <c r="H652" t="s">
        <v>43</v>
      </c>
      <c r="I652" t="s">
        <v>36</v>
      </c>
      <c r="J652">
        <v>5</v>
      </c>
      <c r="K652" t="s">
        <v>68</v>
      </c>
      <c r="L652">
        <v>60</v>
      </c>
      <c r="M652" t="s">
        <v>91</v>
      </c>
      <c r="N652">
        <v>14500</v>
      </c>
      <c r="O652">
        <v>11</v>
      </c>
      <c r="P652">
        <v>159500</v>
      </c>
      <c r="Q652">
        <v>115.69</v>
      </c>
      <c r="R652" t="s">
        <v>29</v>
      </c>
      <c r="S652" t="s">
        <v>393</v>
      </c>
      <c r="T652">
        <f t="shared" si="42"/>
        <v>159500</v>
      </c>
      <c r="U652" t="str">
        <f t="shared" si="43"/>
        <v>24+ Months</v>
      </c>
    </row>
    <row r="653" spans="1:21" hidden="1">
      <c r="A653" t="s">
        <v>1014</v>
      </c>
      <c r="B653" t="s">
        <v>131</v>
      </c>
      <c r="C653" s="2" t="s">
        <v>1013</v>
      </c>
      <c r="D653" s="2" t="str">
        <f t="shared" si="40"/>
        <v>David Ward</v>
      </c>
      <c r="E653">
        <v>58</v>
      </c>
      <c r="F653" s="3" t="str">
        <f t="shared" si="41"/>
        <v>50-59</v>
      </c>
      <c r="G653" t="s">
        <v>42</v>
      </c>
      <c r="H653" t="s">
        <v>35</v>
      </c>
      <c r="I653" t="s">
        <v>36</v>
      </c>
      <c r="J653">
        <v>5</v>
      </c>
      <c r="K653" t="s">
        <v>68</v>
      </c>
      <c r="L653">
        <v>60</v>
      </c>
      <c r="M653" t="s">
        <v>69</v>
      </c>
      <c r="N653">
        <v>3500</v>
      </c>
      <c r="O653">
        <v>5</v>
      </c>
      <c r="P653">
        <v>17500</v>
      </c>
      <c r="Q653">
        <v>13.71</v>
      </c>
      <c r="R653" t="s">
        <v>29</v>
      </c>
      <c r="S653" t="s">
        <v>393</v>
      </c>
      <c r="T653">
        <f t="shared" si="42"/>
        <v>17500</v>
      </c>
      <c r="U653" t="str">
        <f t="shared" si="43"/>
        <v>24+ Months</v>
      </c>
    </row>
    <row r="654" spans="1:21" hidden="1">
      <c r="A654" t="s">
        <v>1015</v>
      </c>
      <c r="B654" t="s">
        <v>131</v>
      </c>
      <c r="C654" s="2" t="s">
        <v>1013</v>
      </c>
      <c r="D654" s="2" t="str">
        <f t="shared" si="40"/>
        <v>David Ward</v>
      </c>
      <c r="E654">
        <v>58</v>
      </c>
      <c r="F654" s="3" t="str">
        <f t="shared" si="41"/>
        <v>50-59</v>
      </c>
      <c r="G654" t="s">
        <v>42</v>
      </c>
      <c r="H654" t="s">
        <v>51</v>
      </c>
      <c r="I654" t="s">
        <v>36</v>
      </c>
      <c r="J654">
        <v>5</v>
      </c>
      <c r="K654" t="s">
        <v>68</v>
      </c>
      <c r="L654">
        <v>60</v>
      </c>
      <c r="M654" t="s">
        <v>82</v>
      </c>
      <c r="N654">
        <v>30000</v>
      </c>
      <c r="O654">
        <v>11</v>
      </c>
      <c r="P654">
        <v>330000</v>
      </c>
      <c r="Q654">
        <v>168.23</v>
      </c>
      <c r="R654" t="s">
        <v>29</v>
      </c>
      <c r="S654" t="s">
        <v>393</v>
      </c>
      <c r="T654">
        <f t="shared" si="42"/>
        <v>330000</v>
      </c>
      <c r="U654" t="str">
        <f t="shared" si="43"/>
        <v>24+ Months</v>
      </c>
    </row>
    <row r="655" spans="1:21">
      <c r="A655" t="s">
        <v>1016</v>
      </c>
      <c r="B655" t="s">
        <v>358</v>
      </c>
      <c r="C655" s="2" t="s">
        <v>552</v>
      </c>
      <c r="D655" s="2" t="str">
        <f t="shared" si="40"/>
        <v>Omamuzo Miller</v>
      </c>
      <c r="E655">
        <v>37</v>
      </c>
      <c r="F655" s="3" t="str">
        <f t="shared" si="41"/>
        <v>30-39</v>
      </c>
      <c r="G655" t="s">
        <v>77</v>
      </c>
      <c r="H655" t="s">
        <v>51</v>
      </c>
      <c r="I655" t="s">
        <v>26</v>
      </c>
      <c r="J655">
        <v>3</v>
      </c>
      <c r="K655" t="s">
        <v>62</v>
      </c>
      <c r="L655">
        <v>39</v>
      </c>
      <c r="M655" t="s">
        <v>91</v>
      </c>
      <c r="N655">
        <v>14500</v>
      </c>
      <c r="O655">
        <v>8</v>
      </c>
      <c r="P655">
        <v>116000</v>
      </c>
      <c r="Q655">
        <v>17.82</v>
      </c>
      <c r="R655" t="s">
        <v>46</v>
      </c>
      <c r="S655" t="s">
        <v>47</v>
      </c>
      <c r="T655">
        <f t="shared" si="42"/>
        <v>0</v>
      </c>
      <c r="U655" t="str">
        <f t="shared" si="43"/>
        <v>24+ Months</v>
      </c>
    </row>
    <row r="656" spans="1:21">
      <c r="A656" t="s">
        <v>1017</v>
      </c>
      <c r="B656" t="s">
        <v>358</v>
      </c>
      <c r="C656" s="2" t="s">
        <v>552</v>
      </c>
      <c r="D656" s="2" t="str">
        <f t="shared" si="40"/>
        <v>Omamuzo Miller</v>
      </c>
      <c r="E656">
        <v>37</v>
      </c>
      <c r="F656" s="3" t="str">
        <f t="shared" si="41"/>
        <v>30-39</v>
      </c>
      <c r="G656" t="s">
        <v>77</v>
      </c>
      <c r="H656" t="s">
        <v>25</v>
      </c>
      <c r="I656" t="s">
        <v>26</v>
      </c>
      <c r="J656">
        <v>3</v>
      </c>
      <c r="K656" t="s">
        <v>62</v>
      </c>
      <c r="L656">
        <v>39</v>
      </c>
      <c r="M656" t="s">
        <v>63</v>
      </c>
      <c r="N656">
        <v>9000</v>
      </c>
      <c r="O656">
        <v>10</v>
      </c>
      <c r="P656">
        <v>90000</v>
      </c>
      <c r="Q656">
        <v>90.66</v>
      </c>
      <c r="R656" t="s">
        <v>46</v>
      </c>
      <c r="S656" t="s">
        <v>47</v>
      </c>
      <c r="T656">
        <f t="shared" si="42"/>
        <v>0</v>
      </c>
      <c r="U656" t="str">
        <f t="shared" si="43"/>
        <v>24+ Months</v>
      </c>
    </row>
    <row r="657" spans="1:21">
      <c r="A657" t="s">
        <v>1018</v>
      </c>
      <c r="B657" t="s">
        <v>335</v>
      </c>
      <c r="C657" s="2" t="s">
        <v>253</v>
      </c>
      <c r="D657" s="2" t="str">
        <f t="shared" si="40"/>
        <v>Fatima Carter</v>
      </c>
      <c r="E657">
        <v>54</v>
      </c>
      <c r="F657" s="3" t="str">
        <f t="shared" si="41"/>
        <v>50-59</v>
      </c>
      <c r="G657" t="s">
        <v>179</v>
      </c>
      <c r="H657" t="s">
        <v>51</v>
      </c>
      <c r="I657" t="s">
        <v>26</v>
      </c>
      <c r="J657">
        <v>2</v>
      </c>
      <c r="K657" t="s">
        <v>27</v>
      </c>
      <c r="L657">
        <v>24</v>
      </c>
      <c r="M657" t="s">
        <v>78</v>
      </c>
      <c r="N657">
        <v>24000</v>
      </c>
      <c r="O657">
        <v>11</v>
      </c>
      <c r="P657">
        <v>264000</v>
      </c>
      <c r="Q657">
        <v>31.24</v>
      </c>
      <c r="R657" t="s">
        <v>46</v>
      </c>
      <c r="S657" t="s">
        <v>47</v>
      </c>
      <c r="T657">
        <f t="shared" si="42"/>
        <v>0</v>
      </c>
      <c r="U657" t="str">
        <f t="shared" si="43"/>
        <v>13-24 Months</v>
      </c>
    </row>
    <row r="658" spans="1:21">
      <c r="A658" t="s">
        <v>1019</v>
      </c>
      <c r="B658" t="s">
        <v>335</v>
      </c>
      <c r="C658" s="2" t="s">
        <v>253</v>
      </c>
      <c r="D658" s="2" t="str">
        <f t="shared" si="40"/>
        <v>Fatima Carter</v>
      </c>
      <c r="E658">
        <v>54</v>
      </c>
      <c r="F658" s="3" t="str">
        <f t="shared" si="41"/>
        <v>50-59</v>
      </c>
      <c r="G658" t="s">
        <v>179</v>
      </c>
      <c r="H658" t="s">
        <v>25</v>
      </c>
      <c r="I658" t="s">
        <v>26</v>
      </c>
      <c r="J658">
        <v>2</v>
      </c>
      <c r="K658" t="s">
        <v>27</v>
      </c>
      <c r="L658">
        <v>24</v>
      </c>
      <c r="M658" t="s">
        <v>28</v>
      </c>
      <c r="N658">
        <v>35000</v>
      </c>
      <c r="O658">
        <v>17</v>
      </c>
      <c r="P658">
        <v>595000</v>
      </c>
      <c r="Q658">
        <v>146.62</v>
      </c>
      <c r="R658" t="s">
        <v>46</v>
      </c>
      <c r="S658" t="s">
        <v>47</v>
      </c>
      <c r="T658">
        <f t="shared" si="42"/>
        <v>0</v>
      </c>
      <c r="U658" t="str">
        <f t="shared" si="43"/>
        <v>13-24 Months</v>
      </c>
    </row>
    <row r="659" spans="1:21">
      <c r="A659" t="s">
        <v>1020</v>
      </c>
      <c r="B659" t="s">
        <v>169</v>
      </c>
      <c r="C659" s="2" t="s">
        <v>686</v>
      </c>
      <c r="D659" s="2" t="str">
        <f t="shared" si="40"/>
        <v>Maryam Patterson</v>
      </c>
      <c r="E659">
        <v>57</v>
      </c>
      <c r="F659" s="3" t="str">
        <f t="shared" si="41"/>
        <v>50-59</v>
      </c>
      <c r="G659" t="s">
        <v>67</v>
      </c>
      <c r="H659" t="s">
        <v>35</v>
      </c>
      <c r="I659" t="s">
        <v>26</v>
      </c>
      <c r="J659">
        <v>2</v>
      </c>
      <c r="K659" t="s">
        <v>27</v>
      </c>
      <c r="L659">
        <v>53</v>
      </c>
      <c r="M659" t="s">
        <v>264</v>
      </c>
      <c r="N659">
        <v>6500</v>
      </c>
      <c r="O659">
        <v>10</v>
      </c>
      <c r="P659">
        <v>65000</v>
      </c>
      <c r="Q659">
        <v>23.61</v>
      </c>
      <c r="R659" t="s">
        <v>46</v>
      </c>
      <c r="S659" t="s">
        <v>47</v>
      </c>
      <c r="T659">
        <f t="shared" si="42"/>
        <v>0</v>
      </c>
      <c r="U659" t="str">
        <f t="shared" si="43"/>
        <v>24+ Months</v>
      </c>
    </row>
    <row r="660" spans="1:21">
      <c r="A660" t="s">
        <v>1021</v>
      </c>
      <c r="B660" t="s">
        <v>169</v>
      </c>
      <c r="C660" s="2" t="s">
        <v>686</v>
      </c>
      <c r="D660" s="2" t="str">
        <f t="shared" si="40"/>
        <v>Maryam Patterson</v>
      </c>
      <c r="E660">
        <v>57</v>
      </c>
      <c r="F660" s="3" t="str">
        <f t="shared" si="41"/>
        <v>50-59</v>
      </c>
      <c r="G660" t="s">
        <v>67</v>
      </c>
      <c r="H660" t="s">
        <v>43</v>
      </c>
      <c r="I660" t="s">
        <v>26</v>
      </c>
      <c r="J660">
        <v>2</v>
      </c>
      <c r="K660" t="s">
        <v>27</v>
      </c>
      <c r="L660">
        <v>53</v>
      </c>
      <c r="M660" t="s">
        <v>52</v>
      </c>
      <c r="N660">
        <v>9000</v>
      </c>
      <c r="O660">
        <v>20</v>
      </c>
      <c r="P660">
        <v>180000</v>
      </c>
      <c r="Q660">
        <v>137.57</v>
      </c>
      <c r="R660" t="s">
        <v>46</v>
      </c>
      <c r="S660" t="s">
        <v>47</v>
      </c>
      <c r="T660">
        <f t="shared" si="42"/>
        <v>0</v>
      </c>
      <c r="U660" t="str">
        <f t="shared" si="43"/>
        <v>24+ Months</v>
      </c>
    </row>
    <row r="661" spans="1:21">
      <c r="A661" t="s">
        <v>1022</v>
      </c>
      <c r="B661" t="s">
        <v>219</v>
      </c>
      <c r="C661" s="2" t="s">
        <v>1023</v>
      </c>
      <c r="D661" s="2" t="str">
        <f t="shared" si="40"/>
        <v>Chinedu Reynolds</v>
      </c>
      <c r="E661">
        <v>58</v>
      </c>
      <c r="F661" s="3" t="str">
        <f t="shared" si="41"/>
        <v>50-59</v>
      </c>
      <c r="G661" t="s">
        <v>42</v>
      </c>
      <c r="H661" t="s">
        <v>25</v>
      </c>
      <c r="I661" t="s">
        <v>26</v>
      </c>
      <c r="J661">
        <v>1</v>
      </c>
      <c r="K661" t="s">
        <v>44</v>
      </c>
      <c r="L661">
        <v>7</v>
      </c>
      <c r="M661" t="s">
        <v>57</v>
      </c>
      <c r="N661">
        <v>4500</v>
      </c>
      <c r="O661">
        <v>9</v>
      </c>
      <c r="P661">
        <v>40500</v>
      </c>
      <c r="Q661">
        <v>38.909999999999997</v>
      </c>
      <c r="R661" t="s">
        <v>46</v>
      </c>
      <c r="S661" t="s">
        <v>47</v>
      </c>
      <c r="T661">
        <f t="shared" si="42"/>
        <v>0</v>
      </c>
      <c r="U661" t="str">
        <f t="shared" si="43"/>
        <v>7-12 Months</v>
      </c>
    </row>
    <row r="662" spans="1:21">
      <c r="A662" t="s">
        <v>1024</v>
      </c>
      <c r="B662" t="s">
        <v>219</v>
      </c>
      <c r="C662" s="2" t="s">
        <v>1023</v>
      </c>
      <c r="D662" s="2" t="str">
        <f t="shared" si="40"/>
        <v>Chinedu Reynolds</v>
      </c>
      <c r="E662">
        <v>58</v>
      </c>
      <c r="F662" s="3" t="str">
        <f t="shared" si="41"/>
        <v>50-59</v>
      </c>
      <c r="G662" t="s">
        <v>42</v>
      </c>
      <c r="H662" t="s">
        <v>35</v>
      </c>
      <c r="I662" t="s">
        <v>26</v>
      </c>
      <c r="J662">
        <v>1</v>
      </c>
      <c r="K662" t="s">
        <v>44</v>
      </c>
      <c r="L662">
        <v>7</v>
      </c>
      <c r="M662" t="s">
        <v>264</v>
      </c>
      <c r="N662">
        <v>6500</v>
      </c>
      <c r="O662">
        <v>15</v>
      </c>
      <c r="P662">
        <v>97500</v>
      </c>
      <c r="Q662">
        <v>64.17</v>
      </c>
      <c r="R662" t="s">
        <v>46</v>
      </c>
      <c r="S662" t="s">
        <v>47</v>
      </c>
      <c r="T662">
        <f t="shared" si="42"/>
        <v>0</v>
      </c>
      <c r="U662" t="str">
        <f t="shared" si="43"/>
        <v>7-12 Months</v>
      </c>
    </row>
    <row r="663" spans="1:21">
      <c r="A663" t="s">
        <v>1025</v>
      </c>
      <c r="B663" t="s">
        <v>80</v>
      </c>
      <c r="C663" s="2" t="s">
        <v>1026</v>
      </c>
      <c r="D663" s="2" t="str">
        <f t="shared" si="40"/>
        <v>Ifeanyi Cunningham</v>
      </c>
      <c r="E663">
        <v>50</v>
      </c>
      <c r="F663" s="3" t="str">
        <f t="shared" si="41"/>
        <v>50-59</v>
      </c>
      <c r="G663" t="s">
        <v>67</v>
      </c>
      <c r="H663" t="s">
        <v>51</v>
      </c>
      <c r="I663" t="s">
        <v>26</v>
      </c>
      <c r="J663">
        <v>1</v>
      </c>
      <c r="K663" t="s">
        <v>44</v>
      </c>
      <c r="L663">
        <v>18</v>
      </c>
      <c r="M663" t="s">
        <v>78</v>
      </c>
      <c r="N663">
        <v>24000</v>
      </c>
      <c r="O663">
        <v>5</v>
      </c>
      <c r="P663">
        <v>120000</v>
      </c>
      <c r="Q663">
        <v>64.040000000000006</v>
      </c>
      <c r="R663" t="s">
        <v>46</v>
      </c>
      <c r="S663" t="s">
        <v>47</v>
      </c>
      <c r="T663">
        <f t="shared" si="42"/>
        <v>0</v>
      </c>
      <c r="U663" t="str">
        <f t="shared" si="43"/>
        <v>13-24 Months</v>
      </c>
    </row>
    <row r="664" spans="1:21">
      <c r="A664" t="s">
        <v>1027</v>
      </c>
      <c r="B664" t="s">
        <v>80</v>
      </c>
      <c r="C664" s="2" t="s">
        <v>1026</v>
      </c>
      <c r="D664" s="2" t="str">
        <f t="shared" si="40"/>
        <v>Ifeanyi Cunningham</v>
      </c>
      <c r="E664">
        <v>50</v>
      </c>
      <c r="F664" s="3" t="str">
        <f t="shared" si="41"/>
        <v>50-59</v>
      </c>
      <c r="G664" t="s">
        <v>67</v>
      </c>
      <c r="H664" t="s">
        <v>35</v>
      </c>
      <c r="I664" t="s">
        <v>26</v>
      </c>
      <c r="J664">
        <v>1</v>
      </c>
      <c r="K664" t="s">
        <v>44</v>
      </c>
      <c r="L664">
        <v>18</v>
      </c>
      <c r="M664" t="s">
        <v>49</v>
      </c>
      <c r="N664">
        <v>500</v>
      </c>
      <c r="O664">
        <v>6</v>
      </c>
      <c r="P664">
        <v>3000</v>
      </c>
      <c r="Q664">
        <v>115.03</v>
      </c>
      <c r="R664" t="s">
        <v>46</v>
      </c>
      <c r="S664" t="s">
        <v>47</v>
      </c>
      <c r="T664">
        <f t="shared" si="42"/>
        <v>0</v>
      </c>
      <c r="U664" t="str">
        <f t="shared" si="43"/>
        <v>13-24 Months</v>
      </c>
    </row>
    <row r="665" spans="1:21">
      <c r="A665" t="s">
        <v>1028</v>
      </c>
      <c r="B665" t="s">
        <v>80</v>
      </c>
      <c r="C665" s="2" t="s">
        <v>1026</v>
      </c>
      <c r="D665" s="2" t="str">
        <f t="shared" si="40"/>
        <v>Ifeanyi Cunningham</v>
      </c>
      <c r="E665">
        <v>50</v>
      </c>
      <c r="F665" s="3" t="str">
        <f t="shared" si="41"/>
        <v>50-59</v>
      </c>
      <c r="G665" t="s">
        <v>67</v>
      </c>
      <c r="H665" t="s">
        <v>25</v>
      </c>
      <c r="I665" t="s">
        <v>26</v>
      </c>
      <c r="J665">
        <v>1</v>
      </c>
      <c r="K665" t="s">
        <v>44</v>
      </c>
      <c r="L665">
        <v>18</v>
      </c>
      <c r="M665" t="s">
        <v>73</v>
      </c>
      <c r="N665">
        <v>16000</v>
      </c>
      <c r="O665">
        <v>11</v>
      </c>
      <c r="P665">
        <v>176000</v>
      </c>
      <c r="Q665">
        <v>62.62</v>
      </c>
      <c r="R665" t="s">
        <v>46</v>
      </c>
      <c r="S665" t="s">
        <v>47</v>
      </c>
      <c r="T665">
        <f t="shared" si="42"/>
        <v>0</v>
      </c>
      <c r="U665" t="str">
        <f t="shared" si="43"/>
        <v>13-24 Months</v>
      </c>
    </row>
    <row r="666" spans="1:21" hidden="1">
      <c r="A666" t="s">
        <v>1029</v>
      </c>
      <c r="B666" t="s">
        <v>131</v>
      </c>
      <c r="C666" s="2" t="s">
        <v>1030</v>
      </c>
      <c r="D666" s="2" t="str">
        <f t="shared" si="40"/>
        <v>David Crosby</v>
      </c>
      <c r="E666">
        <v>72</v>
      </c>
      <c r="F666" s="3" t="str">
        <f t="shared" si="41"/>
        <v>70-79</v>
      </c>
      <c r="G666" t="s">
        <v>61</v>
      </c>
      <c r="H666" t="s">
        <v>35</v>
      </c>
      <c r="I666" t="s">
        <v>26</v>
      </c>
      <c r="J666">
        <v>1</v>
      </c>
      <c r="K666" t="s">
        <v>44</v>
      </c>
      <c r="L666">
        <v>2</v>
      </c>
      <c r="M666" t="s">
        <v>113</v>
      </c>
      <c r="N666">
        <v>7500</v>
      </c>
      <c r="O666">
        <v>20</v>
      </c>
      <c r="P666">
        <v>150000</v>
      </c>
      <c r="Q666">
        <v>36.21</v>
      </c>
      <c r="R666" t="s">
        <v>29</v>
      </c>
      <c r="S666" t="s">
        <v>97</v>
      </c>
      <c r="T666">
        <f t="shared" si="42"/>
        <v>150000</v>
      </c>
      <c r="U666" t="str">
        <f t="shared" si="43"/>
        <v>0-6 Months</v>
      </c>
    </row>
    <row r="667" spans="1:21" hidden="1">
      <c r="A667" t="s">
        <v>1031</v>
      </c>
      <c r="B667" t="s">
        <v>182</v>
      </c>
      <c r="C667" s="2" t="s">
        <v>183</v>
      </c>
      <c r="D667" s="2" t="str">
        <f t="shared" si="40"/>
        <v>Alabo Davis</v>
      </c>
      <c r="E667">
        <v>61</v>
      </c>
      <c r="F667" s="3" t="str">
        <f t="shared" si="41"/>
        <v>60-69</v>
      </c>
      <c r="G667" t="s">
        <v>206</v>
      </c>
      <c r="H667" t="s">
        <v>25</v>
      </c>
      <c r="I667" t="s">
        <v>36</v>
      </c>
      <c r="J667">
        <v>5</v>
      </c>
      <c r="K667" t="s">
        <v>68</v>
      </c>
      <c r="L667">
        <v>53</v>
      </c>
      <c r="M667" t="s">
        <v>28</v>
      </c>
      <c r="N667">
        <v>35000</v>
      </c>
      <c r="O667">
        <v>10</v>
      </c>
      <c r="P667">
        <v>350000</v>
      </c>
      <c r="Q667">
        <v>19.899999999999999</v>
      </c>
      <c r="R667" t="s">
        <v>29</v>
      </c>
      <c r="S667" t="s">
        <v>38</v>
      </c>
      <c r="T667">
        <f t="shared" si="42"/>
        <v>350000</v>
      </c>
      <c r="U667" t="str">
        <f t="shared" si="43"/>
        <v>24+ Months</v>
      </c>
    </row>
    <row r="668" spans="1:21" hidden="1">
      <c r="A668" t="s">
        <v>1032</v>
      </c>
      <c r="B668" t="s">
        <v>182</v>
      </c>
      <c r="C668" s="2" t="s">
        <v>183</v>
      </c>
      <c r="D668" s="2" t="str">
        <f t="shared" si="40"/>
        <v>Alabo Davis</v>
      </c>
      <c r="E668">
        <v>61</v>
      </c>
      <c r="F668" s="3" t="str">
        <f t="shared" si="41"/>
        <v>60-69</v>
      </c>
      <c r="G668" t="s">
        <v>206</v>
      </c>
      <c r="H668" t="s">
        <v>51</v>
      </c>
      <c r="I668" t="s">
        <v>36</v>
      </c>
      <c r="J668">
        <v>5</v>
      </c>
      <c r="K668" t="s">
        <v>68</v>
      </c>
      <c r="L668">
        <v>53</v>
      </c>
      <c r="M668" t="s">
        <v>91</v>
      </c>
      <c r="N668">
        <v>14500</v>
      </c>
      <c r="O668">
        <v>8</v>
      </c>
      <c r="P668">
        <v>116000</v>
      </c>
      <c r="Q668">
        <v>94.37</v>
      </c>
      <c r="R668" t="s">
        <v>29</v>
      </c>
      <c r="S668" t="s">
        <v>38</v>
      </c>
      <c r="T668">
        <f t="shared" si="42"/>
        <v>116000</v>
      </c>
      <c r="U668" t="str">
        <f t="shared" si="43"/>
        <v>24+ Months</v>
      </c>
    </row>
    <row r="669" spans="1:21">
      <c r="A669" t="s">
        <v>1033</v>
      </c>
      <c r="B669" t="s">
        <v>134</v>
      </c>
      <c r="C669" s="2" t="s">
        <v>586</v>
      </c>
      <c r="D669" s="2" t="str">
        <f t="shared" si="40"/>
        <v>Obinna Thomas</v>
      </c>
      <c r="E669">
        <v>49</v>
      </c>
      <c r="F669" s="3" t="str">
        <f t="shared" si="41"/>
        <v>40-49</v>
      </c>
      <c r="G669" t="s">
        <v>56</v>
      </c>
      <c r="H669" t="s">
        <v>51</v>
      </c>
      <c r="I669" t="s">
        <v>36</v>
      </c>
      <c r="J669">
        <v>3</v>
      </c>
      <c r="K669" t="s">
        <v>62</v>
      </c>
      <c r="L669">
        <v>12</v>
      </c>
      <c r="M669" t="s">
        <v>91</v>
      </c>
      <c r="N669">
        <v>14500</v>
      </c>
      <c r="O669">
        <v>16</v>
      </c>
      <c r="P669">
        <v>232000</v>
      </c>
      <c r="Q669">
        <v>23.02</v>
      </c>
      <c r="R669" t="s">
        <v>46</v>
      </c>
      <c r="S669" t="s">
        <v>47</v>
      </c>
      <c r="T669">
        <f t="shared" si="42"/>
        <v>0</v>
      </c>
      <c r="U669" t="str">
        <f t="shared" si="43"/>
        <v>7-12 Months</v>
      </c>
    </row>
    <row r="670" spans="1:21" hidden="1">
      <c r="A670" t="s">
        <v>1034</v>
      </c>
      <c r="B670" t="s">
        <v>214</v>
      </c>
      <c r="C670" s="2" t="s">
        <v>1035</v>
      </c>
      <c r="D670" s="2" t="str">
        <f t="shared" si="40"/>
        <v>Zina Valenzuela</v>
      </c>
      <c r="E670">
        <v>37</v>
      </c>
      <c r="F670" s="3" t="str">
        <f t="shared" si="41"/>
        <v>30-39</v>
      </c>
      <c r="G670" t="s">
        <v>136</v>
      </c>
      <c r="H670" t="s">
        <v>51</v>
      </c>
      <c r="I670" t="s">
        <v>36</v>
      </c>
      <c r="J670">
        <v>5</v>
      </c>
      <c r="K670" t="s">
        <v>68</v>
      </c>
      <c r="L670">
        <v>39</v>
      </c>
      <c r="M670" t="s">
        <v>82</v>
      </c>
      <c r="N670">
        <v>30000</v>
      </c>
      <c r="O670">
        <v>13</v>
      </c>
      <c r="P670">
        <v>390000</v>
      </c>
      <c r="Q670">
        <v>106.78</v>
      </c>
      <c r="R670" t="s">
        <v>29</v>
      </c>
      <c r="S670" t="s">
        <v>38</v>
      </c>
      <c r="T670">
        <f t="shared" si="42"/>
        <v>390000</v>
      </c>
      <c r="U670" t="str">
        <f t="shared" si="43"/>
        <v>24+ Months</v>
      </c>
    </row>
    <row r="671" spans="1:21" hidden="1">
      <c r="A671" t="s">
        <v>1036</v>
      </c>
      <c r="B671" t="s">
        <v>214</v>
      </c>
      <c r="C671" s="2" t="s">
        <v>1035</v>
      </c>
      <c r="D671" s="2" t="str">
        <f t="shared" si="40"/>
        <v>Zina Valenzuela</v>
      </c>
      <c r="E671">
        <v>37</v>
      </c>
      <c r="F671" s="3" t="str">
        <f t="shared" si="41"/>
        <v>30-39</v>
      </c>
      <c r="G671" t="s">
        <v>136</v>
      </c>
      <c r="H671" t="s">
        <v>25</v>
      </c>
      <c r="I671" t="s">
        <v>36</v>
      </c>
      <c r="J671">
        <v>5</v>
      </c>
      <c r="K671" t="s">
        <v>68</v>
      </c>
      <c r="L671">
        <v>39</v>
      </c>
      <c r="M671" t="s">
        <v>28</v>
      </c>
      <c r="N671">
        <v>35000</v>
      </c>
      <c r="O671">
        <v>8</v>
      </c>
      <c r="P671">
        <v>280000</v>
      </c>
      <c r="Q671">
        <v>48.1</v>
      </c>
      <c r="R671" t="s">
        <v>29</v>
      </c>
      <c r="S671" t="s">
        <v>38</v>
      </c>
      <c r="T671">
        <f t="shared" si="42"/>
        <v>280000</v>
      </c>
      <c r="U671" t="str">
        <f t="shared" si="43"/>
        <v>24+ Months</v>
      </c>
    </row>
    <row r="672" spans="1:21" hidden="1">
      <c r="A672" t="s">
        <v>1037</v>
      </c>
      <c r="B672" t="s">
        <v>214</v>
      </c>
      <c r="C672" s="2" t="s">
        <v>1035</v>
      </c>
      <c r="D672" s="2" t="str">
        <f t="shared" si="40"/>
        <v>Zina Valenzuela</v>
      </c>
      <c r="E672">
        <v>37</v>
      </c>
      <c r="F672" s="3" t="str">
        <f t="shared" si="41"/>
        <v>30-39</v>
      </c>
      <c r="G672" t="s">
        <v>136</v>
      </c>
      <c r="H672" t="s">
        <v>35</v>
      </c>
      <c r="I672" t="s">
        <v>36</v>
      </c>
      <c r="J672">
        <v>5</v>
      </c>
      <c r="K672" t="s">
        <v>68</v>
      </c>
      <c r="L672">
        <v>39</v>
      </c>
      <c r="M672" t="s">
        <v>264</v>
      </c>
      <c r="N672">
        <v>6500</v>
      </c>
      <c r="O672">
        <v>16</v>
      </c>
      <c r="P672">
        <v>104000</v>
      </c>
      <c r="Q672">
        <v>32.22</v>
      </c>
      <c r="R672" t="s">
        <v>29</v>
      </c>
      <c r="S672" t="s">
        <v>38</v>
      </c>
      <c r="T672">
        <f t="shared" si="42"/>
        <v>104000</v>
      </c>
      <c r="U672" t="str">
        <f t="shared" si="43"/>
        <v>24+ Months</v>
      </c>
    </row>
    <row r="673" spans="1:21">
      <c r="A673" t="s">
        <v>1038</v>
      </c>
      <c r="B673" t="s">
        <v>358</v>
      </c>
      <c r="C673" s="2" t="s">
        <v>421</v>
      </c>
      <c r="D673" s="2" t="str">
        <f t="shared" si="40"/>
        <v>Omamuzo Holmes</v>
      </c>
      <c r="E673">
        <v>24</v>
      </c>
      <c r="F673" s="3" t="str">
        <f t="shared" si="41"/>
        <v>20-29</v>
      </c>
      <c r="G673" t="s">
        <v>216</v>
      </c>
      <c r="H673" t="s">
        <v>25</v>
      </c>
      <c r="I673" t="s">
        <v>26</v>
      </c>
      <c r="J673">
        <v>4</v>
      </c>
      <c r="K673" t="s">
        <v>155</v>
      </c>
      <c r="L673">
        <v>53</v>
      </c>
      <c r="M673" t="s">
        <v>73</v>
      </c>
      <c r="N673">
        <v>16000</v>
      </c>
      <c r="O673">
        <v>19</v>
      </c>
      <c r="P673">
        <v>304000</v>
      </c>
      <c r="Q673">
        <v>148</v>
      </c>
      <c r="R673" t="s">
        <v>46</v>
      </c>
      <c r="S673" t="s">
        <v>47</v>
      </c>
      <c r="T673">
        <f t="shared" si="42"/>
        <v>0</v>
      </c>
      <c r="U673" t="str">
        <f t="shared" si="43"/>
        <v>24+ Months</v>
      </c>
    </row>
    <row r="674" spans="1:21">
      <c r="A674" t="s">
        <v>1039</v>
      </c>
      <c r="B674" t="s">
        <v>358</v>
      </c>
      <c r="C674" s="2" t="s">
        <v>421</v>
      </c>
      <c r="D674" s="2" t="str">
        <f t="shared" si="40"/>
        <v>Omamuzo Holmes</v>
      </c>
      <c r="E674">
        <v>24</v>
      </c>
      <c r="F674" s="3" t="str">
        <f t="shared" si="41"/>
        <v>20-29</v>
      </c>
      <c r="G674" t="s">
        <v>216</v>
      </c>
      <c r="H674" t="s">
        <v>51</v>
      </c>
      <c r="I674" t="s">
        <v>26</v>
      </c>
      <c r="J674">
        <v>4</v>
      </c>
      <c r="K674" t="s">
        <v>155</v>
      </c>
      <c r="L674">
        <v>53</v>
      </c>
      <c r="M674" t="s">
        <v>91</v>
      </c>
      <c r="N674">
        <v>14500</v>
      </c>
      <c r="O674">
        <v>20</v>
      </c>
      <c r="P674">
        <v>290000</v>
      </c>
      <c r="Q674">
        <v>23.31</v>
      </c>
      <c r="R674" t="s">
        <v>46</v>
      </c>
      <c r="S674" t="s">
        <v>47</v>
      </c>
      <c r="T674">
        <f t="shared" si="42"/>
        <v>0</v>
      </c>
      <c r="U674" t="str">
        <f t="shared" si="43"/>
        <v>24+ Months</v>
      </c>
    </row>
    <row r="675" spans="1:21" hidden="1">
      <c r="A675" t="s">
        <v>1040</v>
      </c>
      <c r="B675" t="s">
        <v>214</v>
      </c>
      <c r="C675" s="2" t="s">
        <v>564</v>
      </c>
      <c r="D675" s="2" t="str">
        <f t="shared" si="40"/>
        <v>Zina Diaz</v>
      </c>
      <c r="E675">
        <v>57</v>
      </c>
      <c r="F675" s="3" t="str">
        <f t="shared" si="41"/>
        <v>50-59</v>
      </c>
      <c r="G675" t="s">
        <v>128</v>
      </c>
      <c r="H675" t="s">
        <v>35</v>
      </c>
      <c r="I675" t="s">
        <v>36</v>
      </c>
      <c r="J675">
        <v>4</v>
      </c>
      <c r="K675" t="s">
        <v>155</v>
      </c>
      <c r="L675">
        <v>12</v>
      </c>
      <c r="M675" t="s">
        <v>137</v>
      </c>
      <c r="N675">
        <v>900</v>
      </c>
      <c r="O675">
        <v>5</v>
      </c>
      <c r="P675">
        <v>4500</v>
      </c>
      <c r="Q675">
        <v>18.559999999999999</v>
      </c>
      <c r="R675" t="s">
        <v>29</v>
      </c>
      <c r="S675" t="s">
        <v>97</v>
      </c>
      <c r="T675">
        <f t="shared" si="42"/>
        <v>4500</v>
      </c>
      <c r="U675" t="str">
        <f t="shared" si="43"/>
        <v>7-12 Months</v>
      </c>
    </row>
    <row r="676" spans="1:21" hidden="1">
      <c r="A676" t="s">
        <v>1041</v>
      </c>
      <c r="B676" t="s">
        <v>214</v>
      </c>
      <c r="C676" s="2" t="s">
        <v>564</v>
      </c>
      <c r="D676" s="2" t="str">
        <f t="shared" si="40"/>
        <v>Zina Diaz</v>
      </c>
      <c r="E676">
        <v>57</v>
      </c>
      <c r="F676" s="3" t="str">
        <f t="shared" si="41"/>
        <v>50-59</v>
      </c>
      <c r="G676" t="s">
        <v>128</v>
      </c>
      <c r="H676" t="s">
        <v>25</v>
      </c>
      <c r="I676" t="s">
        <v>36</v>
      </c>
      <c r="J676">
        <v>4</v>
      </c>
      <c r="K676" t="s">
        <v>155</v>
      </c>
      <c r="L676">
        <v>12</v>
      </c>
      <c r="M676" t="s">
        <v>73</v>
      </c>
      <c r="N676">
        <v>16000</v>
      </c>
      <c r="O676">
        <v>5</v>
      </c>
      <c r="P676">
        <v>80000</v>
      </c>
      <c r="Q676">
        <v>151.54</v>
      </c>
      <c r="R676" t="s">
        <v>29</v>
      </c>
      <c r="S676" t="s">
        <v>97</v>
      </c>
      <c r="T676">
        <f t="shared" si="42"/>
        <v>80000</v>
      </c>
      <c r="U676" t="str">
        <f t="shared" si="43"/>
        <v>7-12 Months</v>
      </c>
    </row>
    <row r="677" spans="1:21" hidden="1">
      <c r="A677" t="s">
        <v>1042</v>
      </c>
      <c r="B677" t="s">
        <v>214</v>
      </c>
      <c r="C677" s="2" t="s">
        <v>564</v>
      </c>
      <c r="D677" s="2" t="str">
        <f t="shared" si="40"/>
        <v>Zina Diaz</v>
      </c>
      <c r="E677">
        <v>57</v>
      </c>
      <c r="F677" s="3" t="str">
        <f t="shared" si="41"/>
        <v>50-59</v>
      </c>
      <c r="G677" t="s">
        <v>128</v>
      </c>
      <c r="H677" t="s">
        <v>43</v>
      </c>
      <c r="I677" t="s">
        <v>36</v>
      </c>
      <c r="J677">
        <v>4</v>
      </c>
      <c r="K677" t="s">
        <v>155</v>
      </c>
      <c r="L677">
        <v>12</v>
      </c>
      <c r="M677" t="s">
        <v>71</v>
      </c>
      <c r="N677">
        <v>150000</v>
      </c>
      <c r="O677">
        <v>13</v>
      </c>
      <c r="P677">
        <v>1950000</v>
      </c>
      <c r="Q677">
        <v>106.49</v>
      </c>
      <c r="R677" t="s">
        <v>29</v>
      </c>
      <c r="S677" t="s">
        <v>97</v>
      </c>
      <c r="T677">
        <f t="shared" si="42"/>
        <v>1950000</v>
      </c>
      <c r="U677" t="str">
        <f t="shared" si="43"/>
        <v>7-12 Months</v>
      </c>
    </row>
    <row r="678" spans="1:21">
      <c r="A678" t="s">
        <v>1043</v>
      </c>
      <c r="B678" t="s">
        <v>182</v>
      </c>
      <c r="C678" s="2" t="s">
        <v>33</v>
      </c>
      <c r="D678" s="2" t="str">
        <f t="shared" si="40"/>
        <v>Alabo Baker</v>
      </c>
      <c r="E678">
        <v>41</v>
      </c>
      <c r="F678" s="3" t="str">
        <f t="shared" si="41"/>
        <v>40-49</v>
      </c>
      <c r="G678" t="s">
        <v>102</v>
      </c>
      <c r="H678" t="s">
        <v>51</v>
      </c>
      <c r="I678" t="s">
        <v>36</v>
      </c>
      <c r="J678">
        <v>4</v>
      </c>
      <c r="K678" t="s">
        <v>155</v>
      </c>
      <c r="L678">
        <v>20</v>
      </c>
      <c r="M678" t="s">
        <v>52</v>
      </c>
      <c r="N678">
        <v>9000</v>
      </c>
      <c r="O678">
        <v>17</v>
      </c>
      <c r="P678">
        <v>153000</v>
      </c>
      <c r="Q678">
        <v>122.49</v>
      </c>
      <c r="R678" t="s">
        <v>46</v>
      </c>
      <c r="S678" t="s">
        <v>47</v>
      </c>
      <c r="T678">
        <f t="shared" si="42"/>
        <v>0</v>
      </c>
      <c r="U678" t="str">
        <f t="shared" si="43"/>
        <v>13-24 Months</v>
      </c>
    </row>
    <row r="679" spans="1:21">
      <c r="A679" t="s">
        <v>1044</v>
      </c>
      <c r="B679" t="s">
        <v>182</v>
      </c>
      <c r="C679" s="2" t="s">
        <v>33</v>
      </c>
      <c r="D679" s="2" t="str">
        <f t="shared" si="40"/>
        <v>Alabo Baker</v>
      </c>
      <c r="E679">
        <v>41</v>
      </c>
      <c r="F679" s="3" t="str">
        <f t="shared" si="41"/>
        <v>40-49</v>
      </c>
      <c r="G679" t="s">
        <v>102</v>
      </c>
      <c r="H679" t="s">
        <v>43</v>
      </c>
      <c r="I679" t="s">
        <v>36</v>
      </c>
      <c r="J679">
        <v>4</v>
      </c>
      <c r="K679" t="s">
        <v>155</v>
      </c>
      <c r="L679">
        <v>20</v>
      </c>
      <c r="M679" t="s">
        <v>143</v>
      </c>
      <c r="N679">
        <v>75000</v>
      </c>
      <c r="O679">
        <v>10</v>
      </c>
      <c r="P679">
        <v>750000</v>
      </c>
      <c r="Q679">
        <v>169.6</v>
      </c>
      <c r="R679" t="s">
        <v>46</v>
      </c>
      <c r="S679" t="s">
        <v>47</v>
      </c>
      <c r="T679">
        <f t="shared" si="42"/>
        <v>0</v>
      </c>
      <c r="U679" t="str">
        <f t="shared" si="43"/>
        <v>13-24 Months</v>
      </c>
    </row>
    <row r="680" spans="1:21">
      <c r="A680" t="s">
        <v>1045</v>
      </c>
      <c r="B680" t="s">
        <v>447</v>
      </c>
      <c r="C680" s="2" t="s">
        <v>1046</v>
      </c>
      <c r="D680" s="2" t="str">
        <f t="shared" si="40"/>
        <v>Sade Mercer</v>
      </c>
      <c r="E680">
        <v>63</v>
      </c>
      <c r="F680" s="3" t="str">
        <f t="shared" si="41"/>
        <v>60-69</v>
      </c>
      <c r="G680" t="s">
        <v>61</v>
      </c>
      <c r="H680" t="s">
        <v>25</v>
      </c>
      <c r="I680" t="s">
        <v>26</v>
      </c>
      <c r="J680">
        <v>1</v>
      </c>
      <c r="K680" t="s">
        <v>44</v>
      </c>
      <c r="L680">
        <v>46</v>
      </c>
      <c r="M680" t="s">
        <v>28</v>
      </c>
      <c r="N680">
        <v>35000</v>
      </c>
      <c r="O680">
        <v>13</v>
      </c>
      <c r="P680">
        <v>455000</v>
      </c>
      <c r="Q680">
        <v>140.59</v>
      </c>
      <c r="R680" t="s">
        <v>46</v>
      </c>
      <c r="S680" t="s">
        <v>47</v>
      </c>
      <c r="T680">
        <f t="shared" si="42"/>
        <v>0</v>
      </c>
      <c r="U680" t="str">
        <f t="shared" si="43"/>
        <v>24+ Months</v>
      </c>
    </row>
    <row r="681" spans="1:21">
      <c r="A681" t="s">
        <v>1047</v>
      </c>
      <c r="B681" t="s">
        <v>166</v>
      </c>
      <c r="C681" s="2" t="s">
        <v>1048</v>
      </c>
      <c r="D681" s="2" t="str">
        <f t="shared" si="40"/>
        <v>Ese Harper</v>
      </c>
      <c r="E681">
        <v>64</v>
      </c>
      <c r="F681" s="3" t="str">
        <f t="shared" si="41"/>
        <v>60-69</v>
      </c>
      <c r="G681" t="s">
        <v>106</v>
      </c>
      <c r="H681" t="s">
        <v>35</v>
      </c>
      <c r="I681" t="s">
        <v>36</v>
      </c>
      <c r="J681">
        <v>2</v>
      </c>
      <c r="K681" t="s">
        <v>27</v>
      </c>
      <c r="L681">
        <v>28</v>
      </c>
      <c r="M681" t="s">
        <v>69</v>
      </c>
      <c r="N681">
        <v>3500</v>
      </c>
      <c r="O681">
        <v>5</v>
      </c>
      <c r="P681">
        <v>17500</v>
      </c>
      <c r="Q681">
        <v>168.07</v>
      </c>
      <c r="R681" t="s">
        <v>46</v>
      </c>
      <c r="S681" t="s">
        <v>47</v>
      </c>
      <c r="T681">
        <f t="shared" si="42"/>
        <v>0</v>
      </c>
      <c r="U681" t="str">
        <f t="shared" si="43"/>
        <v>24+ Months</v>
      </c>
    </row>
    <row r="682" spans="1:21">
      <c r="A682" t="s">
        <v>1049</v>
      </c>
      <c r="B682" t="s">
        <v>115</v>
      </c>
      <c r="C682" s="2" t="s">
        <v>1050</v>
      </c>
      <c r="D682" s="2" t="str">
        <f t="shared" si="40"/>
        <v>Abubakar Mcknight</v>
      </c>
      <c r="E682">
        <v>32</v>
      </c>
      <c r="F682" s="3" t="str">
        <f t="shared" si="41"/>
        <v>30-39</v>
      </c>
      <c r="G682" t="s">
        <v>194</v>
      </c>
      <c r="H682" t="s">
        <v>35</v>
      </c>
      <c r="I682" t="s">
        <v>26</v>
      </c>
      <c r="J682">
        <v>2</v>
      </c>
      <c r="K682" t="s">
        <v>27</v>
      </c>
      <c r="L682">
        <v>5</v>
      </c>
      <c r="M682" t="s">
        <v>108</v>
      </c>
      <c r="N682">
        <v>1000</v>
      </c>
      <c r="O682">
        <v>14</v>
      </c>
      <c r="P682">
        <v>14000</v>
      </c>
      <c r="Q682">
        <v>27.88</v>
      </c>
      <c r="R682" t="s">
        <v>46</v>
      </c>
      <c r="S682" t="s">
        <v>47</v>
      </c>
      <c r="T682">
        <f t="shared" si="42"/>
        <v>0</v>
      </c>
      <c r="U682" t="str">
        <f t="shared" si="43"/>
        <v>0-6 Months</v>
      </c>
    </row>
    <row r="683" spans="1:21">
      <c r="A683" t="s">
        <v>1051</v>
      </c>
      <c r="B683" t="s">
        <v>115</v>
      </c>
      <c r="C683" s="2" t="s">
        <v>1050</v>
      </c>
      <c r="D683" s="2" t="str">
        <f t="shared" si="40"/>
        <v>Abubakar Mcknight</v>
      </c>
      <c r="E683">
        <v>32</v>
      </c>
      <c r="F683" s="3" t="str">
        <f t="shared" si="41"/>
        <v>30-39</v>
      </c>
      <c r="G683" t="s">
        <v>194</v>
      </c>
      <c r="H683" t="s">
        <v>51</v>
      </c>
      <c r="I683" t="s">
        <v>26</v>
      </c>
      <c r="J683">
        <v>2</v>
      </c>
      <c r="K683" t="s">
        <v>27</v>
      </c>
      <c r="L683">
        <v>5</v>
      </c>
      <c r="M683" t="s">
        <v>91</v>
      </c>
      <c r="N683">
        <v>14500</v>
      </c>
      <c r="O683">
        <v>20</v>
      </c>
      <c r="P683">
        <v>290000</v>
      </c>
      <c r="Q683">
        <v>178.77</v>
      </c>
      <c r="R683" t="s">
        <v>46</v>
      </c>
      <c r="S683" t="s">
        <v>47</v>
      </c>
      <c r="T683">
        <f t="shared" si="42"/>
        <v>0</v>
      </c>
      <c r="U683" t="str">
        <f t="shared" si="43"/>
        <v>0-6 Months</v>
      </c>
    </row>
    <row r="684" spans="1:21">
      <c r="A684" t="s">
        <v>1052</v>
      </c>
      <c r="B684" t="s">
        <v>75</v>
      </c>
      <c r="C684" s="2" t="s">
        <v>196</v>
      </c>
      <c r="D684" s="2" t="str">
        <f t="shared" si="40"/>
        <v>Boma Anderson</v>
      </c>
      <c r="E684">
        <v>39</v>
      </c>
      <c r="F684" s="3" t="str">
        <f t="shared" si="41"/>
        <v>30-39</v>
      </c>
      <c r="G684" t="s">
        <v>42</v>
      </c>
      <c r="H684" t="s">
        <v>35</v>
      </c>
      <c r="I684" t="s">
        <v>36</v>
      </c>
      <c r="J684">
        <v>4</v>
      </c>
      <c r="K684" t="s">
        <v>155</v>
      </c>
      <c r="L684">
        <v>36</v>
      </c>
      <c r="M684" t="s">
        <v>137</v>
      </c>
      <c r="N684">
        <v>900</v>
      </c>
      <c r="O684">
        <v>8</v>
      </c>
      <c r="P684">
        <v>7200</v>
      </c>
      <c r="Q684">
        <v>115.8</v>
      </c>
      <c r="R684" t="s">
        <v>46</v>
      </c>
      <c r="S684" t="s">
        <v>47</v>
      </c>
      <c r="T684">
        <f t="shared" si="42"/>
        <v>0</v>
      </c>
      <c r="U684" t="str">
        <f t="shared" si="43"/>
        <v>24+ Months</v>
      </c>
    </row>
    <row r="685" spans="1:21">
      <c r="A685" t="s">
        <v>1053</v>
      </c>
      <c r="B685" t="s">
        <v>345</v>
      </c>
      <c r="C685" s="2" t="s">
        <v>268</v>
      </c>
      <c r="D685" s="2" t="str">
        <f t="shared" si="40"/>
        <v>Michael Smith</v>
      </c>
      <c r="E685">
        <v>50</v>
      </c>
      <c r="F685" s="3" t="str">
        <f t="shared" si="41"/>
        <v>50-59</v>
      </c>
      <c r="G685" t="s">
        <v>151</v>
      </c>
      <c r="H685" t="s">
        <v>51</v>
      </c>
      <c r="I685" t="s">
        <v>36</v>
      </c>
      <c r="J685">
        <v>5</v>
      </c>
      <c r="K685" t="s">
        <v>68</v>
      </c>
      <c r="L685">
        <v>3</v>
      </c>
      <c r="M685" t="s">
        <v>91</v>
      </c>
      <c r="N685">
        <v>14500</v>
      </c>
      <c r="O685">
        <v>3</v>
      </c>
      <c r="P685">
        <v>43500</v>
      </c>
      <c r="Q685">
        <v>192.37</v>
      </c>
      <c r="R685" t="s">
        <v>46</v>
      </c>
      <c r="S685" t="s">
        <v>47</v>
      </c>
      <c r="T685">
        <f t="shared" si="42"/>
        <v>0</v>
      </c>
      <c r="U685" t="str">
        <f t="shared" si="43"/>
        <v>0-6 Months</v>
      </c>
    </row>
    <row r="686" spans="1:21">
      <c r="A686" t="s">
        <v>1054</v>
      </c>
      <c r="B686" t="s">
        <v>345</v>
      </c>
      <c r="C686" s="2" t="s">
        <v>268</v>
      </c>
      <c r="D686" s="2" t="str">
        <f t="shared" si="40"/>
        <v>Michael Smith</v>
      </c>
      <c r="E686">
        <v>50</v>
      </c>
      <c r="F686" s="3" t="str">
        <f t="shared" si="41"/>
        <v>50-59</v>
      </c>
      <c r="G686" t="s">
        <v>151</v>
      </c>
      <c r="H686" t="s">
        <v>43</v>
      </c>
      <c r="I686" t="s">
        <v>36</v>
      </c>
      <c r="J686">
        <v>5</v>
      </c>
      <c r="K686" t="s">
        <v>68</v>
      </c>
      <c r="L686">
        <v>3</v>
      </c>
      <c r="M686" t="s">
        <v>82</v>
      </c>
      <c r="N686">
        <v>30000</v>
      </c>
      <c r="O686">
        <v>17</v>
      </c>
      <c r="P686">
        <v>510000</v>
      </c>
      <c r="Q686">
        <v>146.16999999999999</v>
      </c>
      <c r="R686" t="s">
        <v>46</v>
      </c>
      <c r="S686" t="s">
        <v>47</v>
      </c>
      <c r="T686">
        <f t="shared" si="42"/>
        <v>0</v>
      </c>
      <c r="U686" t="str">
        <f t="shared" si="43"/>
        <v>0-6 Months</v>
      </c>
    </row>
    <row r="687" spans="1:21">
      <c r="A687" t="s">
        <v>1055</v>
      </c>
      <c r="B687" t="s">
        <v>32</v>
      </c>
      <c r="C687" s="2" t="s">
        <v>1056</v>
      </c>
      <c r="D687" s="2" t="str">
        <f t="shared" si="40"/>
        <v>Zainab Compton</v>
      </c>
      <c r="E687">
        <v>75</v>
      </c>
      <c r="F687" s="3" t="str">
        <f t="shared" si="41"/>
        <v>70-79</v>
      </c>
      <c r="G687" t="s">
        <v>96</v>
      </c>
      <c r="H687" t="s">
        <v>51</v>
      </c>
      <c r="I687" t="s">
        <v>26</v>
      </c>
      <c r="J687">
        <v>2</v>
      </c>
      <c r="K687" t="s">
        <v>27</v>
      </c>
      <c r="L687">
        <v>34</v>
      </c>
      <c r="M687" t="s">
        <v>78</v>
      </c>
      <c r="N687">
        <v>24000</v>
      </c>
      <c r="O687">
        <v>11</v>
      </c>
      <c r="P687">
        <v>264000</v>
      </c>
      <c r="Q687">
        <v>11.03</v>
      </c>
      <c r="R687" t="s">
        <v>46</v>
      </c>
      <c r="S687" t="s">
        <v>47</v>
      </c>
      <c r="T687">
        <f t="shared" si="42"/>
        <v>0</v>
      </c>
      <c r="U687" t="str">
        <f t="shared" si="43"/>
        <v>24+ Months</v>
      </c>
    </row>
    <row r="688" spans="1:21">
      <c r="A688" t="s">
        <v>1057</v>
      </c>
      <c r="B688" t="s">
        <v>32</v>
      </c>
      <c r="C688" s="2" t="s">
        <v>1056</v>
      </c>
      <c r="D688" s="2" t="str">
        <f t="shared" si="40"/>
        <v>Zainab Compton</v>
      </c>
      <c r="E688">
        <v>75</v>
      </c>
      <c r="F688" s="3" t="str">
        <f t="shared" si="41"/>
        <v>70-79</v>
      </c>
      <c r="G688" t="s">
        <v>96</v>
      </c>
      <c r="H688" t="s">
        <v>43</v>
      </c>
      <c r="I688" t="s">
        <v>26</v>
      </c>
      <c r="J688">
        <v>2</v>
      </c>
      <c r="K688" t="s">
        <v>27</v>
      </c>
      <c r="L688">
        <v>34</v>
      </c>
      <c r="M688" t="s">
        <v>52</v>
      </c>
      <c r="N688">
        <v>9000</v>
      </c>
      <c r="O688">
        <v>17</v>
      </c>
      <c r="P688">
        <v>153000</v>
      </c>
      <c r="Q688">
        <v>94.04</v>
      </c>
      <c r="R688" t="s">
        <v>46</v>
      </c>
      <c r="S688" t="s">
        <v>47</v>
      </c>
      <c r="T688">
        <f t="shared" si="42"/>
        <v>0</v>
      </c>
      <c r="U688" t="str">
        <f t="shared" si="43"/>
        <v>24+ Months</v>
      </c>
    </row>
    <row r="689" spans="1:21">
      <c r="A689" t="s">
        <v>1058</v>
      </c>
      <c r="B689" t="s">
        <v>32</v>
      </c>
      <c r="C689" s="2" t="s">
        <v>1056</v>
      </c>
      <c r="D689" s="2" t="str">
        <f t="shared" si="40"/>
        <v>Zainab Compton</v>
      </c>
      <c r="E689">
        <v>75</v>
      </c>
      <c r="F689" s="3" t="str">
        <f t="shared" si="41"/>
        <v>70-79</v>
      </c>
      <c r="G689" t="s">
        <v>96</v>
      </c>
      <c r="H689" t="s">
        <v>25</v>
      </c>
      <c r="I689" t="s">
        <v>26</v>
      </c>
      <c r="J689">
        <v>2</v>
      </c>
      <c r="K689" t="s">
        <v>27</v>
      </c>
      <c r="L689">
        <v>34</v>
      </c>
      <c r="M689" t="s">
        <v>28</v>
      </c>
      <c r="N689">
        <v>35000</v>
      </c>
      <c r="O689">
        <v>11</v>
      </c>
      <c r="P689">
        <v>385000</v>
      </c>
      <c r="Q689">
        <v>115.01</v>
      </c>
      <c r="R689" t="s">
        <v>46</v>
      </c>
      <c r="S689" t="s">
        <v>47</v>
      </c>
      <c r="T689">
        <f t="shared" si="42"/>
        <v>0</v>
      </c>
      <c r="U689" t="str">
        <f t="shared" si="43"/>
        <v>24+ Months</v>
      </c>
    </row>
    <row r="690" spans="1:21">
      <c r="A690" t="s">
        <v>1059</v>
      </c>
      <c r="B690" t="s">
        <v>316</v>
      </c>
      <c r="C690" s="2" t="s">
        <v>632</v>
      </c>
      <c r="D690" s="2" t="str">
        <f t="shared" si="40"/>
        <v>Ibim Mills</v>
      </c>
      <c r="E690">
        <v>61</v>
      </c>
      <c r="F690" s="3" t="str">
        <f t="shared" si="41"/>
        <v>60-69</v>
      </c>
      <c r="G690" t="s">
        <v>136</v>
      </c>
      <c r="H690" t="s">
        <v>43</v>
      </c>
      <c r="I690" t="s">
        <v>36</v>
      </c>
      <c r="J690">
        <v>5</v>
      </c>
      <c r="K690" t="s">
        <v>68</v>
      </c>
      <c r="L690">
        <v>11</v>
      </c>
      <c r="M690" t="s">
        <v>82</v>
      </c>
      <c r="N690">
        <v>30000</v>
      </c>
      <c r="O690">
        <v>10</v>
      </c>
      <c r="P690">
        <v>300000</v>
      </c>
      <c r="Q690">
        <v>114.79</v>
      </c>
      <c r="R690" t="s">
        <v>46</v>
      </c>
      <c r="S690" t="s">
        <v>47</v>
      </c>
      <c r="T690">
        <f t="shared" si="42"/>
        <v>0</v>
      </c>
      <c r="U690" t="str">
        <f t="shared" si="43"/>
        <v>7-12 Months</v>
      </c>
    </row>
    <row r="691" spans="1:21">
      <c r="A691" t="s">
        <v>1060</v>
      </c>
      <c r="B691" t="s">
        <v>316</v>
      </c>
      <c r="C691" s="2" t="s">
        <v>632</v>
      </c>
      <c r="D691" s="2" t="str">
        <f t="shared" si="40"/>
        <v>Ibim Mills</v>
      </c>
      <c r="E691">
        <v>61</v>
      </c>
      <c r="F691" s="3" t="str">
        <f t="shared" si="41"/>
        <v>60-69</v>
      </c>
      <c r="G691" t="s">
        <v>136</v>
      </c>
      <c r="H691" t="s">
        <v>51</v>
      </c>
      <c r="I691" t="s">
        <v>36</v>
      </c>
      <c r="J691">
        <v>5</v>
      </c>
      <c r="K691" t="s">
        <v>68</v>
      </c>
      <c r="L691">
        <v>11</v>
      </c>
      <c r="M691" t="s">
        <v>78</v>
      </c>
      <c r="N691">
        <v>24000</v>
      </c>
      <c r="O691">
        <v>16</v>
      </c>
      <c r="P691">
        <v>384000</v>
      </c>
      <c r="Q691">
        <v>5.95</v>
      </c>
      <c r="R691" t="s">
        <v>46</v>
      </c>
      <c r="S691" t="s">
        <v>47</v>
      </c>
      <c r="T691">
        <f t="shared" si="42"/>
        <v>0</v>
      </c>
      <c r="U691" t="str">
        <f t="shared" si="43"/>
        <v>7-12 Months</v>
      </c>
    </row>
    <row r="692" spans="1:21">
      <c r="A692" t="s">
        <v>1061</v>
      </c>
      <c r="B692" t="s">
        <v>316</v>
      </c>
      <c r="C692" s="2" t="s">
        <v>632</v>
      </c>
      <c r="D692" s="2" t="str">
        <f t="shared" si="40"/>
        <v>Ibim Mills</v>
      </c>
      <c r="E692">
        <v>61</v>
      </c>
      <c r="F692" s="3" t="str">
        <f t="shared" si="41"/>
        <v>60-69</v>
      </c>
      <c r="G692" t="s">
        <v>136</v>
      </c>
      <c r="H692" t="s">
        <v>25</v>
      </c>
      <c r="I692" t="s">
        <v>36</v>
      </c>
      <c r="J692">
        <v>5</v>
      </c>
      <c r="K692" t="s">
        <v>68</v>
      </c>
      <c r="L692">
        <v>11</v>
      </c>
      <c r="M692" t="s">
        <v>73</v>
      </c>
      <c r="N692">
        <v>16000</v>
      </c>
      <c r="O692">
        <v>3</v>
      </c>
      <c r="P692">
        <v>48000</v>
      </c>
      <c r="Q692">
        <v>25.8</v>
      </c>
      <c r="R692" t="s">
        <v>46</v>
      </c>
      <c r="S692" t="s">
        <v>47</v>
      </c>
    </row>
    <row r="693" spans="1:21" hidden="1">
      <c r="A693" t="s">
        <v>1062</v>
      </c>
      <c r="B693" t="s">
        <v>32</v>
      </c>
      <c r="C693" s="2" t="s">
        <v>905</v>
      </c>
      <c r="D693" s="2" t="str">
        <f t="shared" si="40"/>
        <v>Zainab Rivera</v>
      </c>
      <c r="E693">
        <v>48</v>
      </c>
      <c r="F693" s="3" t="str">
        <f t="shared" si="41"/>
        <v>40-49</v>
      </c>
      <c r="G693" t="s">
        <v>194</v>
      </c>
      <c r="H693" t="s">
        <v>25</v>
      </c>
      <c r="I693" t="s">
        <v>36</v>
      </c>
      <c r="J693">
        <v>1</v>
      </c>
      <c r="K693" t="s">
        <v>44</v>
      </c>
      <c r="L693">
        <v>18</v>
      </c>
      <c r="M693" t="s">
        <v>28</v>
      </c>
      <c r="N693">
        <v>35000</v>
      </c>
      <c r="O693">
        <v>6</v>
      </c>
      <c r="P693">
        <v>210000</v>
      </c>
      <c r="Q693">
        <v>74.27</v>
      </c>
      <c r="R693" t="s">
        <v>46</v>
      </c>
      <c r="S693" t="s">
        <v>229</v>
      </c>
      <c r="T693">
        <f t="shared" ref="T693:T756" si="44">IF(R693="Yes",P693,0)</f>
        <v>0</v>
      </c>
      <c r="U693" t="str">
        <f t="shared" ref="U693:U756" si="45">IF(L693&lt;=6,"0-6 Months",
IF(L693&lt;=12,"7-12 Months",
IF(L693&lt;=24,"13-24 Months","24+ Months")))</f>
        <v>13-24 Months</v>
      </c>
    </row>
    <row r="694" spans="1:21" hidden="1">
      <c r="A694" t="s">
        <v>1063</v>
      </c>
      <c r="B694" t="s">
        <v>32</v>
      </c>
      <c r="C694" s="2" t="s">
        <v>905</v>
      </c>
      <c r="D694" s="2" t="str">
        <f t="shared" si="40"/>
        <v>Zainab Rivera</v>
      </c>
      <c r="E694">
        <v>48</v>
      </c>
      <c r="F694" s="3" t="str">
        <f t="shared" si="41"/>
        <v>40-49</v>
      </c>
      <c r="G694" t="s">
        <v>194</v>
      </c>
      <c r="H694" t="s">
        <v>43</v>
      </c>
      <c r="I694" t="s">
        <v>36</v>
      </c>
      <c r="J694">
        <v>1</v>
      </c>
      <c r="K694" t="s">
        <v>44</v>
      </c>
      <c r="L694">
        <v>18</v>
      </c>
      <c r="M694" t="s">
        <v>78</v>
      </c>
      <c r="N694">
        <v>24000</v>
      </c>
      <c r="O694">
        <v>8</v>
      </c>
      <c r="P694">
        <v>192000</v>
      </c>
      <c r="Q694">
        <v>156.61000000000001</v>
      </c>
      <c r="R694" t="s">
        <v>46</v>
      </c>
      <c r="S694" t="s">
        <v>229</v>
      </c>
      <c r="T694">
        <f t="shared" si="44"/>
        <v>0</v>
      </c>
      <c r="U694" t="str">
        <f t="shared" si="45"/>
        <v>13-24 Months</v>
      </c>
    </row>
    <row r="695" spans="1:21" hidden="1">
      <c r="A695" t="s">
        <v>1064</v>
      </c>
      <c r="B695" t="s">
        <v>32</v>
      </c>
      <c r="C695" s="2" t="s">
        <v>905</v>
      </c>
      <c r="D695" s="2" t="str">
        <f t="shared" si="40"/>
        <v>Zainab Rivera</v>
      </c>
      <c r="E695">
        <v>48</v>
      </c>
      <c r="F695" s="3" t="str">
        <f t="shared" si="41"/>
        <v>40-49</v>
      </c>
      <c r="G695" t="s">
        <v>194</v>
      </c>
      <c r="H695" t="s">
        <v>51</v>
      </c>
      <c r="I695" t="s">
        <v>36</v>
      </c>
      <c r="J695">
        <v>1</v>
      </c>
      <c r="K695" t="s">
        <v>44</v>
      </c>
      <c r="L695">
        <v>18</v>
      </c>
      <c r="M695" t="s">
        <v>91</v>
      </c>
      <c r="N695">
        <v>14500</v>
      </c>
      <c r="O695">
        <v>17</v>
      </c>
      <c r="P695">
        <v>246500</v>
      </c>
      <c r="Q695">
        <v>36.57</v>
      </c>
      <c r="R695" t="s">
        <v>46</v>
      </c>
      <c r="S695" t="s">
        <v>229</v>
      </c>
      <c r="T695">
        <f t="shared" si="44"/>
        <v>0</v>
      </c>
      <c r="U695" t="str">
        <f t="shared" si="45"/>
        <v>13-24 Months</v>
      </c>
    </row>
    <row r="696" spans="1:21" hidden="1">
      <c r="A696" t="s">
        <v>1065</v>
      </c>
      <c r="B696" t="s">
        <v>404</v>
      </c>
      <c r="C696" s="2" t="s">
        <v>686</v>
      </c>
      <c r="D696" s="2" t="str">
        <f t="shared" si="40"/>
        <v>Bola Patterson</v>
      </c>
      <c r="E696">
        <v>59</v>
      </c>
      <c r="F696" s="3" t="str">
        <f t="shared" si="41"/>
        <v>50-59</v>
      </c>
      <c r="G696" t="s">
        <v>415</v>
      </c>
      <c r="H696" t="s">
        <v>35</v>
      </c>
      <c r="I696" t="s">
        <v>26</v>
      </c>
      <c r="J696">
        <v>4</v>
      </c>
      <c r="K696" t="s">
        <v>155</v>
      </c>
      <c r="L696">
        <v>39</v>
      </c>
      <c r="M696" t="s">
        <v>37</v>
      </c>
      <c r="N696">
        <v>5500</v>
      </c>
      <c r="O696">
        <v>6</v>
      </c>
      <c r="P696">
        <v>33000</v>
      </c>
      <c r="Q696">
        <v>145.34</v>
      </c>
      <c r="R696" t="s">
        <v>46</v>
      </c>
      <c r="S696" t="s">
        <v>229</v>
      </c>
      <c r="T696">
        <f t="shared" si="44"/>
        <v>0</v>
      </c>
      <c r="U696" t="str">
        <f t="shared" si="45"/>
        <v>24+ Months</v>
      </c>
    </row>
    <row r="697" spans="1:21" hidden="1">
      <c r="A697" t="s">
        <v>1066</v>
      </c>
      <c r="B697" t="s">
        <v>404</v>
      </c>
      <c r="C697" s="2" t="s">
        <v>686</v>
      </c>
      <c r="D697" s="2" t="str">
        <f t="shared" si="40"/>
        <v>Bola Patterson</v>
      </c>
      <c r="E697">
        <v>59</v>
      </c>
      <c r="F697" s="3" t="str">
        <f t="shared" si="41"/>
        <v>50-59</v>
      </c>
      <c r="G697" t="s">
        <v>415</v>
      </c>
      <c r="H697" t="s">
        <v>51</v>
      </c>
      <c r="I697" t="s">
        <v>26</v>
      </c>
      <c r="J697">
        <v>4</v>
      </c>
      <c r="K697" t="s">
        <v>155</v>
      </c>
      <c r="L697">
        <v>39</v>
      </c>
      <c r="M697" t="s">
        <v>45</v>
      </c>
      <c r="N697">
        <v>20000</v>
      </c>
      <c r="O697">
        <v>12</v>
      </c>
      <c r="P697">
        <v>240000</v>
      </c>
      <c r="Q697">
        <v>115.76</v>
      </c>
      <c r="R697" t="s">
        <v>46</v>
      </c>
      <c r="S697" t="s">
        <v>229</v>
      </c>
      <c r="T697">
        <f t="shared" si="44"/>
        <v>0</v>
      </c>
      <c r="U697" t="str">
        <f t="shared" si="45"/>
        <v>24+ Months</v>
      </c>
    </row>
    <row r="698" spans="1:21" hidden="1">
      <c r="A698" t="s">
        <v>1067</v>
      </c>
      <c r="B698" t="s">
        <v>447</v>
      </c>
      <c r="C698" s="2" t="s">
        <v>147</v>
      </c>
      <c r="D698" s="2" t="str">
        <f t="shared" si="40"/>
        <v>Sade Brown</v>
      </c>
      <c r="E698">
        <v>49</v>
      </c>
      <c r="F698" s="3" t="str">
        <f t="shared" si="41"/>
        <v>40-49</v>
      </c>
      <c r="G698" t="s">
        <v>240</v>
      </c>
      <c r="H698" t="s">
        <v>25</v>
      </c>
      <c r="I698" t="s">
        <v>26</v>
      </c>
      <c r="J698">
        <v>4</v>
      </c>
      <c r="K698" t="s">
        <v>155</v>
      </c>
      <c r="L698">
        <v>11</v>
      </c>
      <c r="M698" t="s">
        <v>28</v>
      </c>
      <c r="N698">
        <v>35000</v>
      </c>
      <c r="O698">
        <v>5</v>
      </c>
      <c r="P698">
        <v>175000</v>
      </c>
      <c r="Q698">
        <v>95.18</v>
      </c>
      <c r="R698" t="s">
        <v>46</v>
      </c>
      <c r="S698" t="s">
        <v>229</v>
      </c>
      <c r="T698">
        <f t="shared" si="44"/>
        <v>0</v>
      </c>
      <c r="U698" t="str">
        <f t="shared" si="45"/>
        <v>7-12 Months</v>
      </c>
    </row>
    <row r="699" spans="1:21" hidden="1">
      <c r="A699" t="s">
        <v>1068</v>
      </c>
      <c r="B699" t="s">
        <v>447</v>
      </c>
      <c r="C699" s="2" t="s">
        <v>147</v>
      </c>
      <c r="D699" s="2" t="str">
        <f t="shared" si="40"/>
        <v>Sade Brown</v>
      </c>
      <c r="E699">
        <v>49</v>
      </c>
      <c r="F699" s="3" t="str">
        <f t="shared" si="41"/>
        <v>40-49</v>
      </c>
      <c r="G699" t="s">
        <v>240</v>
      </c>
      <c r="H699" t="s">
        <v>35</v>
      </c>
      <c r="I699" t="s">
        <v>26</v>
      </c>
      <c r="J699">
        <v>4</v>
      </c>
      <c r="K699" t="s">
        <v>155</v>
      </c>
      <c r="L699">
        <v>11</v>
      </c>
      <c r="M699" t="s">
        <v>264</v>
      </c>
      <c r="N699">
        <v>6500</v>
      </c>
      <c r="O699">
        <v>1</v>
      </c>
      <c r="P699">
        <v>6500</v>
      </c>
      <c r="Q699">
        <v>174.12</v>
      </c>
      <c r="R699" t="s">
        <v>46</v>
      </c>
      <c r="S699" t="s">
        <v>229</v>
      </c>
      <c r="T699">
        <f t="shared" si="44"/>
        <v>0</v>
      </c>
      <c r="U699" t="str">
        <f t="shared" si="45"/>
        <v>7-12 Months</v>
      </c>
    </row>
    <row r="700" spans="1:21" hidden="1">
      <c r="A700" t="s">
        <v>1069</v>
      </c>
      <c r="B700" t="s">
        <v>115</v>
      </c>
      <c r="C700" s="2" t="s">
        <v>1070</v>
      </c>
      <c r="D700" s="2" t="str">
        <f t="shared" si="40"/>
        <v>Abubakar Martin</v>
      </c>
      <c r="E700">
        <v>73</v>
      </c>
      <c r="F700" s="3" t="str">
        <f t="shared" si="41"/>
        <v>70-79</v>
      </c>
      <c r="G700" t="s">
        <v>77</v>
      </c>
      <c r="H700" t="s">
        <v>43</v>
      </c>
      <c r="I700" t="s">
        <v>36</v>
      </c>
      <c r="J700">
        <v>1</v>
      </c>
      <c r="K700" t="s">
        <v>44</v>
      </c>
      <c r="L700">
        <v>34</v>
      </c>
      <c r="M700" t="s">
        <v>156</v>
      </c>
      <c r="N700">
        <v>25000</v>
      </c>
      <c r="O700">
        <v>4</v>
      </c>
      <c r="P700">
        <v>100000</v>
      </c>
      <c r="Q700">
        <v>54.43</v>
      </c>
      <c r="R700" t="s">
        <v>46</v>
      </c>
      <c r="S700" t="s">
        <v>229</v>
      </c>
      <c r="T700">
        <f t="shared" si="44"/>
        <v>0</v>
      </c>
      <c r="U700" t="str">
        <f t="shared" si="45"/>
        <v>24+ Months</v>
      </c>
    </row>
    <row r="701" spans="1:21" hidden="1">
      <c r="A701" t="s">
        <v>1071</v>
      </c>
      <c r="B701" t="s">
        <v>115</v>
      </c>
      <c r="C701" s="2" t="s">
        <v>1070</v>
      </c>
      <c r="D701" s="2" t="str">
        <f t="shared" si="40"/>
        <v>Abubakar Martin</v>
      </c>
      <c r="E701">
        <v>73</v>
      </c>
      <c r="F701" s="3" t="str">
        <f t="shared" si="41"/>
        <v>70-79</v>
      </c>
      <c r="G701" t="s">
        <v>77</v>
      </c>
      <c r="H701" t="s">
        <v>25</v>
      </c>
      <c r="I701" t="s">
        <v>36</v>
      </c>
      <c r="J701">
        <v>1</v>
      </c>
      <c r="K701" t="s">
        <v>44</v>
      </c>
      <c r="L701">
        <v>34</v>
      </c>
      <c r="M701" t="s">
        <v>63</v>
      </c>
      <c r="N701">
        <v>9000</v>
      </c>
      <c r="O701">
        <v>13</v>
      </c>
      <c r="P701">
        <v>117000</v>
      </c>
      <c r="Q701">
        <v>131.04</v>
      </c>
      <c r="R701" t="s">
        <v>46</v>
      </c>
      <c r="S701" t="s">
        <v>229</v>
      </c>
      <c r="T701">
        <f t="shared" si="44"/>
        <v>0</v>
      </c>
      <c r="U701" t="str">
        <f t="shared" si="45"/>
        <v>24+ Months</v>
      </c>
    </row>
    <row r="702" spans="1:21" hidden="1">
      <c r="A702" t="s">
        <v>1072</v>
      </c>
      <c r="B702" t="s">
        <v>115</v>
      </c>
      <c r="C702" s="2" t="s">
        <v>1070</v>
      </c>
      <c r="D702" s="2" t="str">
        <f t="shared" si="40"/>
        <v>Abubakar Martin</v>
      </c>
      <c r="E702">
        <v>73</v>
      </c>
      <c r="F702" s="3" t="str">
        <f t="shared" si="41"/>
        <v>70-79</v>
      </c>
      <c r="G702" t="s">
        <v>77</v>
      </c>
      <c r="H702" t="s">
        <v>35</v>
      </c>
      <c r="I702" t="s">
        <v>36</v>
      </c>
      <c r="J702">
        <v>1</v>
      </c>
      <c r="K702" t="s">
        <v>44</v>
      </c>
      <c r="L702">
        <v>34</v>
      </c>
      <c r="M702" t="s">
        <v>37</v>
      </c>
      <c r="N702">
        <v>5500</v>
      </c>
      <c r="O702">
        <v>8</v>
      </c>
      <c r="P702">
        <v>44000</v>
      </c>
      <c r="Q702">
        <v>154.74</v>
      </c>
      <c r="R702" t="s">
        <v>46</v>
      </c>
      <c r="S702" t="s">
        <v>229</v>
      </c>
      <c r="T702">
        <f t="shared" si="44"/>
        <v>0</v>
      </c>
      <c r="U702" t="str">
        <f t="shared" si="45"/>
        <v>24+ Months</v>
      </c>
    </row>
    <row r="703" spans="1:21" hidden="1">
      <c r="A703" t="s">
        <v>1073</v>
      </c>
      <c r="B703" t="s">
        <v>84</v>
      </c>
      <c r="C703" s="2" t="s">
        <v>1074</v>
      </c>
      <c r="D703" s="2" t="str">
        <f t="shared" si="40"/>
        <v>Bala Gibson</v>
      </c>
      <c r="E703">
        <v>59</v>
      </c>
      <c r="F703" s="3" t="str">
        <f t="shared" si="41"/>
        <v>50-59</v>
      </c>
      <c r="G703" t="s">
        <v>179</v>
      </c>
      <c r="H703" t="s">
        <v>35</v>
      </c>
      <c r="I703" t="s">
        <v>36</v>
      </c>
      <c r="J703">
        <v>1</v>
      </c>
      <c r="K703" t="s">
        <v>44</v>
      </c>
      <c r="L703">
        <v>36</v>
      </c>
      <c r="M703" t="s">
        <v>108</v>
      </c>
      <c r="N703">
        <v>1000</v>
      </c>
      <c r="O703">
        <v>15</v>
      </c>
      <c r="P703">
        <v>15000</v>
      </c>
      <c r="Q703">
        <v>105.29</v>
      </c>
      <c r="R703" t="s">
        <v>46</v>
      </c>
      <c r="S703" t="s">
        <v>229</v>
      </c>
      <c r="T703">
        <f t="shared" si="44"/>
        <v>0</v>
      </c>
      <c r="U703" t="str">
        <f t="shared" si="45"/>
        <v>24+ Months</v>
      </c>
    </row>
    <row r="704" spans="1:21" hidden="1">
      <c r="A704" t="s">
        <v>1075</v>
      </c>
      <c r="B704" t="s">
        <v>146</v>
      </c>
      <c r="C704" s="2" t="s">
        <v>1076</v>
      </c>
      <c r="D704" s="2" t="str">
        <f t="shared" si="40"/>
        <v>Oghene Winters</v>
      </c>
      <c r="E704">
        <v>44</v>
      </c>
      <c r="F704" s="3" t="str">
        <f t="shared" si="41"/>
        <v>40-49</v>
      </c>
      <c r="G704" t="s">
        <v>136</v>
      </c>
      <c r="H704" t="s">
        <v>25</v>
      </c>
      <c r="I704" t="s">
        <v>36</v>
      </c>
      <c r="J704">
        <v>1</v>
      </c>
      <c r="K704" t="s">
        <v>44</v>
      </c>
      <c r="L704">
        <v>13</v>
      </c>
      <c r="M704" t="s">
        <v>73</v>
      </c>
      <c r="N704">
        <v>16000</v>
      </c>
      <c r="O704">
        <v>4</v>
      </c>
      <c r="P704">
        <v>64000</v>
      </c>
      <c r="Q704">
        <v>141.76</v>
      </c>
      <c r="R704" t="s">
        <v>46</v>
      </c>
      <c r="S704" t="s">
        <v>229</v>
      </c>
      <c r="T704">
        <f t="shared" si="44"/>
        <v>0</v>
      </c>
      <c r="U704" t="str">
        <f t="shared" si="45"/>
        <v>13-24 Months</v>
      </c>
    </row>
    <row r="705" spans="1:21" hidden="1">
      <c r="A705" t="s">
        <v>1077</v>
      </c>
      <c r="B705" t="s">
        <v>219</v>
      </c>
      <c r="C705" s="2" t="s">
        <v>268</v>
      </c>
      <c r="D705" s="2" t="str">
        <f t="shared" si="40"/>
        <v>Chinedu Smith</v>
      </c>
      <c r="E705">
        <v>32</v>
      </c>
      <c r="F705" s="3" t="str">
        <f t="shared" si="41"/>
        <v>30-39</v>
      </c>
      <c r="G705" t="s">
        <v>77</v>
      </c>
      <c r="H705" t="s">
        <v>51</v>
      </c>
      <c r="I705" t="s">
        <v>26</v>
      </c>
      <c r="J705">
        <v>2</v>
      </c>
      <c r="K705" t="s">
        <v>27</v>
      </c>
      <c r="L705">
        <v>58</v>
      </c>
      <c r="M705" t="s">
        <v>82</v>
      </c>
      <c r="N705">
        <v>30000</v>
      </c>
      <c r="O705">
        <v>11</v>
      </c>
      <c r="P705">
        <v>330000</v>
      </c>
      <c r="Q705">
        <v>153.99</v>
      </c>
      <c r="R705" t="s">
        <v>29</v>
      </c>
      <c r="S705" t="s">
        <v>229</v>
      </c>
      <c r="T705">
        <f t="shared" si="44"/>
        <v>330000</v>
      </c>
      <c r="U705" t="str">
        <f t="shared" si="45"/>
        <v>24+ Months</v>
      </c>
    </row>
    <row r="706" spans="1:21" hidden="1">
      <c r="A706" t="s">
        <v>1078</v>
      </c>
      <c r="B706" t="s">
        <v>219</v>
      </c>
      <c r="C706" s="2" t="s">
        <v>268</v>
      </c>
      <c r="D706" s="2" t="str">
        <f t="shared" si="40"/>
        <v>Chinedu Smith</v>
      </c>
      <c r="E706">
        <v>32</v>
      </c>
      <c r="F706" s="3" t="str">
        <f t="shared" si="41"/>
        <v>30-39</v>
      </c>
      <c r="G706" t="s">
        <v>77</v>
      </c>
      <c r="H706" t="s">
        <v>43</v>
      </c>
      <c r="I706" t="s">
        <v>26</v>
      </c>
      <c r="J706">
        <v>2</v>
      </c>
      <c r="K706" t="s">
        <v>27</v>
      </c>
      <c r="L706">
        <v>58</v>
      </c>
      <c r="M706" t="s">
        <v>78</v>
      </c>
      <c r="N706">
        <v>24000</v>
      </c>
      <c r="O706">
        <v>3</v>
      </c>
      <c r="P706">
        <v>72000</v>
      </c>
      <c r="Q706">
        <v>32.81</v>
      </c>
      <c r="R706" t="s">
        <v>29</v>
      </c>
      <c r="S706" t="s">
        <v>229</v>
      </c>
      <c r="T706">
        <f t="shared" si="44"/>
        <v>72000</v>
      </c>
      <c r="U706" t="str">
        <f t="shared" si="45"/>
        <v>24+ Months</v>
      </c>
    </row>
    <row r="707" spans="1:21" hidden="1">
      <c r="A707" t="s">
        <v>1079</v>
      </c>
      <c r="B707" t="s">
        <v>219</v>
      </c>
      <c r="C707" s="2" t="s">
        <v>268</v>
      </c>
      <c r="D707" s="2" t="str">
        <f t="shared" ref="D707:D770" si="46">B707&amp;" "&amp;C707</f>
        <v>Chinedu Smith</v>
      </c>
      <c r="E707">
        <v>32</v>
      </c>
      <c r="F707" s="3" t="str">
        <f t="shared" ref="F707:F770" si="47">FLOOR(E707, 10)&amp;"-"&amp;FLOOR(E707, 10)+9</f>
        <v>30-39</v>
      </c>
      <c r="G707" t="s">
        <v>77</v>
      </c>
      <c r="H707" t="s">
        <v>25</v>
      </c>
      <c r="I707" t="s">
        <v>26</v>
      </c>
      <c r="J707">
        <v>2</v>
      </c>
      <c r="K707" t="s">
        <v>27</v>
      </c>
      <c r="L707">
        <v>58</v>
      </c>
      <c r="M707" t="s">
        <v>63</v>
      </c>
      <c r="N707">
        <v>9000</v>
      </c>
      <c r="O707">
        <v>13</v>
      </c>
      <c r="P707">
        <v>117000</v>
      </c>
      <c r="Q707">
        <v>155.53</v>
      </c>
      <c r="R707" t="s">
        <v>29</v>
      </c>
      <c r="S707" t="s">
        <v>229</v>
      </c>
      <c r="T707">
        <f t="shared" si="44"/>
        <v>117000</v>
      </c>
      <c r="U707" t="str">
        <f t="shared" si="45"/>
        <v>24+ Months</v>
      </c>
    </row>
    <row r="708" spans="1:21" hidden="1">
      <c r="A708" t="s">
        <v>1080</v>
      </c>
      <c r="B708" t="s">
        <v>358</v>
      </c>
      <c r="C708" s="2" t="s">
        <v>1081</v>
      </c>
      <c r="D708" s="2" t="str">
        <f t="shared" si="46"/>
        <v>Omamuzo Juarez</v>
      </c>
      <c r="E708">
        <v>58</v>
      </c>
      <c r="F708" s="3" t="str">
        <f t="shared" si="47"/>
        <v>50-59</v>
      </c>
      <c r="G708" t="s">
        <v>61</v>
      </c>
      <c r="H708" t="s">
        <v>25</v>
      </c>
      <c r="I708" t="s">
        <v>36</v>
      </c>
      <c r="J708">
        <v>2</v>
      </c>
      <c r="K708" t="s">
        <v>27</v>
      </c>
      <c r="L708">
        <v>53</v>
      </c>
      <c r="M708" t="s">
        <v>28</v>
      </c>
      <c r="N708">
        <v>35000</v>
      </c>
      <c r="O708">
        <v>16</v>
      </c>
      <c r="P708">
        <v>560000</v>
      </c>
      <c r="Q708">
        <v>36.1</v>
      </c>
      <c r="R708" t="s">
        <v>46</v>
      </c>
      <c r="S708" t="s">
        <v>229</v>
      </c>
      <c r="T708">
        <f t="shared" si="44"/>
        <v>0</v>
      </c>
      <c r="U708" t="str">
        <f t="shared" si="45"/>
        <v>24+ Months</v>
      </c>
    </row>
    <row r="709" spans="1:21" hidden="1">
      <c r="A709" t="s">
        <v>1082</v>
      </c>
      <c r="B709" t="s">
        <v>358</v>
      </c>
      <c r="C709" s="2" t="s">
        <v>1081</v>
      </c>
      <c r="D709" s="2" t="str">
        <f t="shared" si="46"/>
        <v>Omamuzo Juarez</v>
      </c>
      <c r="E709">
        <v>58</v>
      </c>
      <c r="F709" s="3" t="str">
        <f t="shared" si="47"/>
        <v>50-59</v>
      </c>
      <c r="G709" t="s">
        <v>61</v>
      </c>
      <c r="H709" t="s">
        <v>43</v>
      </c>
      <c r="I709" t="s">
        <v>36</v>
      </c>
      <c r="J709">
        <v>2</v>
      </c>
      <c r="K709" t="s">
        <v>27</v>
      </c>
      <c r="L709">
        <v>53</v>
      </c>
      <c r="M709" t="s">
        <v>45</v>
      </c>
      <c r="N709">
        <v>20000</v>
      </c>
      <c r="O709">
        <v>14</v>
      </c>
      <c r="P709">
        <v>280000</v>
      </c>
      <c r="Q709">
        <v>29.2</v>
      </c>
      <c r="R709" t="s">
        <v>46</v>
      </c>
      <c r="S709" t="s">
        <v>229</v>
      </c>
      <c r="T709">
        <f t="shared" si="44"/>
        <v>0</v>
      </c>
      <c r="U709" t="str">
        <f t="shared" si="45"/>
        <v>24+ Months</v>
      </c>
    </row>
    <row r="710" spans="1:21" hidden="1">
      <c r="A710" t="s">
        <v>1083</v>
      </c>
      <c r="B710" t="s">
        <v>335</v>
      </c>
      <c r="C710" s="2" t="s">
        <v>379</v>
      </c>
      <c r="D710" s="2" t="str">
        <f t="shared" si="46"/>
        <v>Fatima Webb</v>
      </c>
      <c r="E710">
        <v>29</v>
      </c>
      <c r="F710" s="3" t="str">
        <f t="shared" si="47"/>
        <v>20-29</v>
      </c>
      <c r="G710" t="s">
        <v>272</v>
      </c>
      <c r="H710" t="s">
        <v>35</v>
      </c>
      <c r="I710" t="s">
        <v>36</v>
      </c>
      <c r="J710">
        <v>1</v>
      </c>
      <c r="K710" t="s">
        <v>44</v>
      </c>
      <c r="L710">
        <v>7</v>
      </c>
      <c r="M710" t="s">
        <v>37</v>
      </c>
      <c r="N710">
        <v>5500</v>
      </c>
      <c r="O710">
        <v>1</v>
      </c>
      <c r="P710">
        <v>5500</v>
      </c>
      <c r="Q710">
        <v>30.2</v>
      </c>
      <c r="R710" t="s">
        <v>29</v>
      </c>
      <c r="S710" t="s">
        <v>393</v>
      </c>
      <c r="T710">
        <f t="shared" si="44"/>
        <v>5500</v>
      </c>
      <c r="U710" t="str">
        <f t="shared" si="45"/>
        <v>7-12 Months</v>
      </c>
    </row>
    <row r="711" spans="1:21" hidden="1">
      <c r="A711" t="s">
        <v>1084</v>
      </c>
      <c r="B711" t="s">
        <v>335</v>
      </c>
      <c r="C711" s="2" t="s">
        <v>379</v>
      </c>
      <c r="D711" s="2" t="str">
        <f t="shared" si="46"/>
        <v>Fatima Webb</v>
      </c>
      <c r="E711">
        <v>29</v>
      </c>
      <c r="F711" s="3" t="str">
        <f t="shared" si="47"/>
        <v>20-29</v>
      </c>
      <c r="G711" t="s">
        <v>272</v>
      </c>
      <c r="H711" t="s">
        <v>51</v>
      </c>
      <c r="I711" t="s">
        <v>36</v>
      </c>
      <c r="J711">
        <v>1</v>
      </c>
      <c r="K711" t="s">
        <v>44</v>
      </c>
      <c r="L711">
        <v>7</v>
      </c>
      <c r="M711" t="s">
        <v>52</v>
      </c>
      <c r="N711">
        <v>9000</v>
      </c>
      <c r="O711">
        <v>9</v>
      </c>
      <c r="P711">
        <v>81000</v>
      </c>
      <c r="Q711">
        <v>133.09</v>
      </c>
      <c r="R711" t="s">
        <v>29</v>
      </c>
      <c r="S711" t="s">
        <v>393</v>
      </c>
      <c r="T711">
        <f t="shared" si="44"/>
        <v>81000</v>
      </c>
      <c r="U711" t="str">
        <f t="shared" si="45"/>
        <v>7-12 Months</v>
      </c>
    </row>
    <row r="712" spans="1:21" hidden="1">
      <c r="A712" t="s">
        <v>1085</v>
      </c>
      <c r="B712" t="s">
        <v>134</v>
      </c>
      <c r="C712" s="2" t="s">
        <v>1086</v>
      </c>
      <c r="D712" s="2" t="str">
        <f t="shared" si="46"/>
        <v>Obinna Andrews</v>
      </c>
      <c r="E712">
        <v>58</v>
      </c>
      <c r="F712" s="3" t="str">
        <f t="shared" si="47"/>
        <v>50-59</v>
      </c>
      <c r="G712" t="s">
        <v>106</v>
      </c>
      <c r="H712" t="s">
        <v>51</v>
      </c>
      <c r="I712" t="s">
        <v>26</v>
      </c>
      <c r="J712">
        <v>4</v>
      </c>
      <c r="K712" t="s">
        <v>155</v>
      </c>
      <c r="L712">
        <v>33</v>
      </c>
      <c r="M712" t="s">
        <v>52</v>
      </c>
      <c r="N712">
        <v>9000</v>
      </c>
      <c r="O712">
        <v>16</v>
      </c>
      <c r="P712">
        <v>144000</v>
      </c>
      <c r="Q712">
        <v>77.19</v>
      </c>
      <c r="R712" t="s">
        <v>46</v>
      </c>
      <c r="S712" t="s">
        <v>229</v>
      </c>
      <c r="T712">
        <f t="shared" si="44"/>
        <v>0</v>
      </c>
      <c r="U712" t="str">
        <f t="shared" si="45"/>
        <v>24+ Months</v>
      </c>
    </row>
    <row r="713" spans="1:21" hidden="1">
      <c r="A713" t="s">
        <v>1087</v>
      </c>
      <c r="B713" t="s">
        <v>134</v>
      </c>
      <c r="C713" s="2" t="s">
        <v>1086</v>
      </c>
      <c r="D713" s="2" t="str">
        <f t="shared" si="46"/>
        <v>Obinna Andrews</v>
      </c>
      <c r="E713">
        <v>58</v>
      </c>
      <c r="F713" s="3" t="str">
        <f t="shared" si="47"/>
        <v>50-59</v>
      </c>
      <c r="G713" t="s">
        <v>106</v>
      </c>
      <c r="H713" t="s">
        <v>43</v>
      </c>
      <c r="I713" t="s">
        <v>26</v>
      </c>
      <c r="J713">
        <v>4</v>
      </c>
      <c r="K713" t="s">
        <v>155</v>
      </c>
      <c r="L713">
        <v>33</v>
      </c>
      <c r="M713" t="s">
        <v>45</v>
      </c>
      <c r="N713">
        <v>20000</v>
      </c>
      <c r="O713">
        <v>12</v>
      </c>
      <c r="P713">
        <v>240000</v>
      </c>
      <c r="Q713">
        <v>113.67</v>
      </c>
      <c r="R713" t="s">
        <v>46</v>
      </c>
      <c r="S713" t="s">
        <v>229</v>
      </c>
      <c r="T713">
        <f t="shared" si="44"/>
        <v>0</v>
      </c>
      <c r="U713" t="str">
        <f t="shared" si="45"/>
        <v>24+ Months</v>
      </c>
    </row>
    <row r="714" spans="1:21" hidden="1">
      <c r="A714" t="s">
        <v>1088</v>
      </c>
      <c r="B714" t="s">
        <v>134</v>
      </c>
      <c r="C714" s="2" t="s">
        <v>1086</v>
      </c>
      <c r="D714" s="2" t="str">
        <f t="shared" si="46"/>
        <v>Obinna Andrews</v>
      </c>
      <c r="E714">
        <v>58</v>
      </c>
      <c r="F714" s="3" t="str">
        <f t="shared" si="47"/>
        <v>50-59</v>
      </c>
      <c r="G714" t="s">
        <v>106</v>
      </c>
      <c r="H714" t="s">
        <v>35</v>
      </c>
      <c r="I714" t="s">
        <v>26</v>
      </c>
      <c r="J714">
        <v>4</v>
      </c>
      <c r="K714" t="s">
        <v>155</v>
      </c>
      <c r="L714">
        <v>33</v>
      </c>
      <c r="M714" t="s">
        <v>69</v>
      </c>
      <c r="N714">
        <v>3500</v>
      </c>
      <c r="O714">
        <v>13</v>
      </c>
      <c r="P714">
        <v>45500</v>
      </c>
      <c r="Q714">
        <v>136.53</v>
      </c>
      <c r="R714" t="s">
        <v>46</v>
      </c>
      <c r="S714" t="s">
        <v>229</v>
      </c>
      <c r="T714">
        <f t="shared" si="44"/>
        <v>0</v>
      </c>
      <c r="U714" t="str">
        <f t="shared" si="45"/>
        <v>24+ Months</v>
      </c>
    </row>
    <row r="715" spans="1:21" hidden="1">
      <c r="A715" t="s">
        <v>1089</v>
      </c>
      <c r="B715" t="s">
        <v>447</v>
      </c>
      <c r="C715" s="2" t="s">
        <v>1090</v>
      </c>
      <c r="D715" s="2" t="str">
        <f t="shared" si="46"/>
        <v>Sade Donaldson</v>
      </c>
      <c r="E715">
        <v>27</v>
      </c>
      <c r="F715" s="3" t="str">
        <f t="shared" si="47"/>
        <v>20-29</v>
      </c>
      <c r="G715" t="s">
        <v>56</v>
      </c>
      <c r="H715" t="s">
        <v>51</v>
      </c>
      <c r="I715" t="s">
        <v>36</v>
      </c>
      <c r="J715">
        <v>3</v>
      </c>
      <c r="K715" t="s">
        <v>62</v>
      </c>
      <c r="L715">
        <v>6</v>
      </c>
      <c r="M715" t="s">
        <v>91</v>
      </c>
      <c r="N715">
        <v>14500</v>
      </c>
      <c r="O715">
        <v>10</v>
      </c>
      <c r="P715">
        <v>145000</v>
      </c>
      <c r="Q715">
        <v>132.32</v>
      </c>
      <c r="R715" t="s">
        <v>46</v>
      </c>
      <c r="S715" t="s">
        <v>229</v>
      </c>
      <c r="T715">
        <f t="shared" si="44"/>
        <v>0</v>
      </c>
      <c r="U715" t="str">
        <f t="shared" si="45"/>
        <v>0-6 Months</v>
      </c>
    </row>
    <row r="716" spans="1:21" hidden="1">
      <c r="A716" t="s">
        <v>1091</v>
      </c>
      <c r="B716" t="s">
        <v>358</v>
      </c>
      <c r="C716" s="2" t="s">
        <v>839</v>
      </c>
      <c r="D716" s="2" t="str">
        <f t="shared" si="46"/>
        <v>Omamuzo Alexander</v>
      </c>
      <c r="E716">
        <v>29</v>
      </c>
      <c r="F716" s="3" t="str">
        <f t="shared" si="47"/>
        <v>20-29</v>
      </c>
      <c r="G716" t="s">
        <v>210</v>
      </c>
      <c r="H716" t="s">
        <v>25</v>
      </c>
      <c r="I716" t="s">
        <v>36</v>
      </c>
      <c r="J716">
        <v>2</v>
      </c>
      <c r="K716" t="s">
        <v>27</v>
      </c>
      <c r="L716">
        <v>6</v>
      </c>
      <c r="M716" t="s">
        <v>28</v>
      </c>
      <c r="N716">
        <v>35000</v>
      </c>
      <c r="O716">
        <v>18</v>
      </c>
      <c r="P716">
        <v>630000</v>
      </c>
      <c r="Q716">
        <v>78.06</v>
      </c>
      <c r="R716" t="s">
        <v>29</v>
      </c>
      <c r="S716" t="s">
        <v>362</v>
      </c>
      <c r="T716">
        <f t="shared" si="44"/>
        <v>630000</v>
      </c>
      <c r="U716" t="str">
        <f t="shared" si="45"/>
        <v>0-6 Months</v>
      </c>
    </row>
    <row r="717" spans="1:21" hidden="1">
      <c r="A717" t="s">
        <v>1092</v>
      </c>
      <c r="B717" t="s">
        <v>169</v>
      </c>
      <c r="C717" s="2" t="s">
        <v>1093</v>
      </c>
      <c r="D717" s="2" t="str">
        <f t="shared" si="46"/>
        <v>Maryam Harmon</v>
      </c>
      <c r="E717">
        <v>79</v>
      </c>
      <c r="F717" s="3" t="str">
        <f t="shared" si="47"/>
        <v>70-79</v>
      </c>
      <c r="G717" t="s">
        <v>111</v>
      </c>
      <c r="H717" t="s">
        <v>51</v>
      </c>
      <c r="I717" t="s">
        <v>36</v>
      </c>
      <c r="J717">
        <v>3</v>
      </c>
      <c r="K717" t="s">
        <v>62</v>
      </c>
      <c r="L717">
        <v>2</v>
      </c>
      <c r="M717" t="s">
        <v>45</v>
      </c>
      <c r="N717">
        <v>20000</v>
      </c>
      <c r="O717">
        <v>17</v>
      </c>
      <c r="P717">
        <v>340000</v>
      </c>
      <c r="Q717">
        <v>161.52000000000001</v>
      </c>
      <c r="R717" t="s">
        <v>29</v>
      </c>
      <c r="S717" t="s">
        <v>38</v>
      </c>
      <c r="T717">
        <f t="shared" si="44"/>
        <v>340000</v>
      </c>
      <c r="U717" t="str">
        <f t="shared" si="45"/>
        <v>0-6 Months</v>
      </c>
    </row>
    <row r="718" spans="1:21" hidden="1">
      <c r="A718" t="s">
        <v>1094</v>
      </c>
      <c r="B718" t="s">
        <v>169</v>
      </c>
      <c r="C718" s="2" t="s">
        <v>1093</v>
      </c>
      <c r="D718" s="2" t="str">
        <f t="shared" si="46"/>
        <v>Maryam Harmon</v>
      </c>
      <c r="E718">
        <v>79</v>
      </c>
      <c r="F718" s="3" t="str">
        <f t="shared" si="47"/>
        <v>70-79</v>
      </c>
      <c r="G718" t="s">
        <v>111</v>
      </c>
      <c r="H718" t="s">
        <v>25</v>
      </c>
      <c r="I718" t="s">
        <v>36</v>
      </c>
      <c r="J718">
        <v>3</v>
      </c>
      <c r="K718" t="s">
        <v>62</v>
      </c>
      <c r="L718">
        <v>2</v>
      </c>
      <c r="M718" t="s">
        <v>28</v>
      </c>
      <c r="N718">
        <v>35000</v>
      </c>
      <c r="O718">
        <v>18</v>
      </c>
      <c r="P718">
        <v>630000</v>
      </c>
      <c r="Q718">
        <v>188.05</v>
      </c>
      <c r="R718" t="s">
        <v>29</v>
      </c>
      <c r="S718" t="s">
        <v>38</v>
      </c>
      <c r="T718">
        <f t="shared" si="44"/>
        <v>630000</v>
      </c>
      <c r="U718" t="str">
        <f t="shared" si="45"/>
        <v>0-6 Months</v>
      </c>
    </row>
    <row r="719" spans="1:21" hidden="1">
      <c r="A719" t="s">
        <v>1095</v>
      </c>
      <c r="B719" t="s">
        <v>169</v>
      </c>
      <c r="C719" s="2" t="s">
        <v>1093</v>
      </c>
      <c r="D719" s="2" t="str">
        <f t="shared" si="46"/>
        <v>Maryam Harmon</v>
      </c>
      <c r="E719">
        <v>79</v>
      </c>
      <c r="F719" s="3" t="str">
        <f t="shared" si="47"/>
        <v>70-79</v>
      </c>
      <c r="G719" t="s">
        <v>111</v>
      </c>
      <c r="H719" t="s">
        <v>35</v>
      </c>
      <c r="I719" t="s">
        <v>36</v>
      </c>
      <c r="J719">
        <v>3</v>
      </c>
      <c r="K719" t="s">
        <v>62</v>
      </c>
      <c r="L719">
        <v>2</v>
      </c>
      <c r="M719" t="s">
        <v>227</v>
      </c>
      <c r="N719">
        <v>600</v>
      </c>
      <c r="O719">
        <v>8</v>
      </c>
      <c r="P719">
        <v>4800</v>
      </c>
      <c r="Q719">
        <v>148.34</v>
      </c>
      <c r="R719" t="s">
        <v>29</v>
      </c>
      <c r="S719" t="s">
        <v>38</v>
      </c>
      <c r="T719">
        <f t="shared" si="44"/>
        <v>4800</v>
      </c>
      <c r="U719" t="str">
        <f t="shared" si="45"/>
        <v>0-6 Months</v>
      </c>
    </row>
    <row r="720" spans="1:21" hidden="1">
      <c r="A720" t="s">
        <v>1096</v>
      </c>
      <c r="B720" t="s">
        <v>121</v>
      </c>
      <c r="C720" s="2" t="s">
        <v>1097</v>
      </c>
      <c r="D720" s="2" t="str">
        <f t="shared" si="46"/>
        <v>Kunle Myers</v>
      </c>
      <c r="E720">
        <v>20</v>
      </c>
      <c r="F720" s="3" t="str">
        <f t="shared" si="47"/>
        <v>20-29</v>
      </c>
      <c r="G720" t="s">
        <v>67</v>
      </c>
      <c r="H720" t="s">
        <v>51</v>
      </c>
      <c r="I720" t="s">
        <v>36</v>
      </c>
      <c r="J720">
        <v>4</v>
      </c>
      <c r="K720" t="s">
        <v>155</v>
      </c>
      <c r="L720">
        <v>42</v>
      </c>
      <c r="M720" t="s">
        <v>52</v>
      </c>
      <c r="N720">
        <v>9000</v>
      </c>
      <c r="O720">
        <v>2</v>
      </c>
      <c r="P720">
        <v>18000</v>
      </c>
      <c r="Q720">
        <v>34.86</v>
      </c>
      <c r="R720" t="s">
        <v>46</v>
      </c>
      <c r="S720" t="s">
        <v>229</v>
      </c>
      <c r="T720">
        <f t="shared" si="44"/>
        <v>0</v>
      </c>
      <c r="U720" t="str">
        <f t="shared" si="45"/>
        <v>24+ Months</v>
      </c>
    </row>
    <row r="721" spans="1:21" hidden="1">
      <c r="A721" t="s">
        <v>1098</v>
      </c>
      <c r="B721" t="s">
        <v>121</v>
      </c>
      <c r="C721" s="2" t="s">
        <v>1097</v>
      </c>
      <c r="D721" s="2" t="str">
        <f t="shared" si="46"/>
        <v>Kunle Myers</v>
      </c>
      <c r="E721">
        <v>20</v>
      </c>
      <c r="F721" s="3" t="str">
        <f t="shared" si="47"/>
        <v>20-29</v>
      </c>
      <c r="G721" t="s">
        <v>67</v>
      </c>
      <c r="H721" t="s">
        <v>35</v>
      </c>
      <c r="I721" t="s">
        <v>36</v>
      </c>
      <c r="J721">
        <v>4</v>
      </c>
      <c r="K721" t="s">
        <v>155</v>
      </c>
      <c r="L721">
        <v>42</v>
      </c>
      <c r="M721" t="s">
        <v>49</v>
      </c>
      <c r="N721">
        <v>500</v>
      </c>
      <c r="O721">
        <v>4</v>
      </c>
      <c r="P721">
        <v>2000</v>
      </c>
      <c r="Q721">
        <v>164.24</v>
      </c>
      <c r="R721" t="s">
        <v>46</v>
      </c>
      <c r="S721" t="s">
        <v>229</v>
      </c>
      <c r="T721">
        <f t="shared" si="44"/>
        <v>0</v>
      </c>
      <c r="U721" t="str">
        <f t="shared" si="45"/>
        <v>24+ Months</v>
      </c>
    </row>
    <row r="722" spans="1:21" hidden="1">
      <c r="A722" t="s">
        <v>1099</v>
      </c>
      <c r="B722" t="s">
        <v>121</v>
      </c>
      <c r="C722" s="2" t="s">
        <v>1097</v>
      </c>
      <c r="D722" s="2" t="str">
        <f t="shared" si="46"/>
        <v>Kunle Myers</v>
      </c>
      <c r="E722">
        <v>20</v>
      </c>
      <c r="F722" s="3" t="str">
        <f t="shared" si="47"/>
        <v>20-29</v>
      </c>
      <c r="G722" t="s">
        <v>67</v>
      </c>
      <c r="H722" t="s">
        <v>43</v>
      </c>
      <c r="I722" t="s">
        <v>36</v>
      </c>
      <c r="J722">
        <v>4</v>
      </c>
      <c r="K722" t="s">
        <v>155</v>
      </c>
      <c r="L722">
        <v>42</v>
      </c>
      <c r="M722" t="s">
        <v>71</v>
      </c>
      <c r="N722">
        <v>150000</v>
      </c>
      <c r="O722">
        <v>19</v>
      </c>
      <c r="P722">
        <v>2850000</v>
      </c>
      <c r="Q722">
        <v>122.44</v>
      </c>
      <c r="R722" t="s">
        <v>46</v>
      </c>
      <c r="S722" t="s">
        <v>229</v>
      </c>
      <c r="T722">
        <f t="shared" si="44"/>
        <v>0</v>
      </c>
      <c r="U722" t="str">
        <f t="shared" si="45"/>
        <v>24+ Months</v>
      </c>
    </row>
    <row r="723" spans="1:21" hidden="1">
      <c r="A723" t="s">
        <v>1100</v>
      </c>
      <c r="B723" t="s">
        <v>121</v>
      </c>
      <c r="C723" s="2" t="s">
        <v>1101</v>
      </c>
      <c r="D723" s="2" t="str">
        <f t="shared" si="46"/>
        <v>Kunle Brady</v>
      </c>
      <c r="E723">
        <v>29</v>
      </c>
      <c r="F723" s="3" t="str">
        <f t="shared" si="47"/>
        <v>20-29</v>
      </c>
      <c r="G723" t="s">
        <v>240</v>
      </c>
      <c r="H723" t="s">
        <v>43</v>
      </c>
      <c r="I723" t="s">
        <v>36</v>
      </c>
      <c r="J723">
        <v>1</v>
      </c>
      <c r="K723" t="s">
        <v>44</v>
      </c>
      <c r="L723">
        <v>39</v>
      </c>
      <c r="M723" t="s">
        <v>143</v>
      </c>
      <c r="N723">
        <v>75000</v>
      </c>
      <c r="O723">
        <v>19</v>
      </c>
      <c r="P723">
        <v>1425000</v>
      </c>
      <c r="Q723">
        <v>65.180000000000007</v>
      </c>
      <c r="R723" t="s">
        <v>46</v>
      </c>
      <c r="S723" t="s">
        <v>229</v>
      </c>
      <c r="T723">
        <f t="shared" si="44"/>
        <v>0</v>
      </c>
      <c r="U723" t="str">
        <f t="shared" si="45"/>
        <v>24+ Months</v>
      </c>
    </row>
    <row r="724" spans="1:21" hidden="1">
      <c r="A724" t="s">
        <v>1102</v>
      </c>
      <c r="B724" t="s">
        <v>121</v>
      </c>
      <c r="C724" s="2" t="s">
        <v>1101</v>
      </c>
      <c r="D724" s="2" t="str">
        <f t="shared" si="46"/>
        <v>Kunle Brady</v>
      </c>
      <c r="E724">
        <v>29</v>
      </c>
      <c r="F724" s="3" t="str">
        <f t="shared" si="47"/>
        <v>20-29</v>
      </c>
      <c r="G724" t="s">
        <v>240</v>
      </c>
      <c r="H724" t="s">
        <v>35</v>
      </c>
      <c r="I724" t="s">
        <v>36</v>
      </c>
      <c r="J724">
        <v>1</v>
      </c>
      <c r="K724" t="s">
        <v>44</v>
      </c>
      <c r="L724">
        <v>39</v>
      </c>
      <c r="M724" t="s">
        <v>264</v>
      </c>
      <c r="N724">
        <v>6500</v>
      </c>
      <c r="O724">
        <v>7</v>
      </c>
      <c r="P724">
        <v>45500</v>
      </c>
      <c r="Q724">
        <v>27.9</v>
      </c>
      <c r="R724" t="s">
        <v>46</v>
      </c>
      <c r="S724" t="s">
        <v>229</v>
      </c>
      <c r="T724">
        <f t="shared" si="44"/>
        <v>0</v>
      </c>
      <c r="U724" t="str">
        <f t="shared" si="45"/>
        <v>24+ Months</v>
      </c>
    </row>
    <row r="725" spans="1:21" hidden="1">
      <c r="A725" t="s">
        <v>1103</v>
      </c>
      <c r="B725" t="s">
        <v>404</v>
      </c>
      <c r="C725" s="2" t="s">
        <v>730</v>
      </c>
      <c r="D725" s="2" t="str">
        <f t="shared" si="46"/>
        <v>Bola Carpenter</v>
      </c>
      <c r="E725">
        <v>38</v>
      </c>
      <c r="F725" s="3" t="str">
        <f t="shared" si="47"/>
        <v>30-39</v>
      </c>
      <c r="G725" t="s">
        <v>216</v>
      </c>
      <c r="H725" t="s">
        <v>43</v>
      </c>
      <c r="I725" t="s">
        <v>26</v>
      </c>
      <c r="J725">
        <v>2</v>
      </c>
      <c r="K725" t="s">
        <v>27</v>
      </c>
      <c r="L725">
        <v>8</v>
      </c>
      <c r="M725" t="s">
        <v>82</v>
      </c>
      <c r="N725">
        <v>30000</v>
      </c>
      <c r="O725">
        <v>19</v>
      </c>
      <c r="P725">
        <v>570000</v>
      </c>
      <c r="Q725">
        <v>88.01</v>
      </c>
      <c r="R725" t="s">
        <v>46</v>
      </c>
      <c r="S725" t="s">
        <v>229</v>
      </c>
      <c r="T725">
        <f t="shared" si="44"/>
        <v>0</v>
      </c>
      <c r="U725" t="str">
        <f t="shared" si="45"/>
        <v>7-12 Months</v>
      </c>
    </row>
    <row r="726" spans="1:21" hidden="1">
      <c r="A726" t="s">
        <v>1104</v>
      </c>
      <c r="B726" t="s">
        <v>404</v>
      </c>
      <c r="C726" s="2" t="s">
        <v>1105</v>
      </c>
      <c r="D726" s="2" t="str">
        <f t="shared" si="46"/>
        <v>Bola Meadows</v>
      </c>
      <c r="E726">
        <v>33</v>
      </c>
      <c r="F726" s="3" t="str">
        <f t="shared" si="47"/>
        <v>30-39</v>
      </c>
      <c r="G726" t="s">
        <v>128</v>
      </c>
      <c r="H726" t="s">
        <v>51</v>
      </c>
      <c r="I726" t="s">
        <v>36</v>
      </c>
      <c r="J726">
        <v>1</v>
      </c>
      <c r="K726" t="s">
        <v>44</v>
      </c>
      <c r="L726">
        <v>50</v>
      </c>
      <c r="M726" t="s">
        <v>52</v>
      </c>
      <c r="N726">
        <v>9000</v>
      </c>
      <c r="O726">
        <v>3</v>
      </c>
      <c r="P726">
        <v>27000</v>
      </c>
      <c r="Q726">
        <v>36.29</v>
      </c>
      <c r="R726" t="s">
        <v>46</v>
      </c>
      <c r="S726" t="s">
        <v>229</v>
      </c>
      <c r="T726">
        <f t="shared" si="44"/>
        <v>0</v>
      </c>
      <c r="U726" t="str">
        <f t="shared" si="45"/>
        <v>24+ Months</v>
      </c>
    </row>
    <row r="727" spans="1:21" hidden="1">
      <c r="A727" t="s">
        <v>1106</v>
      </c>
      <c r="B727" t="s">
        <v>115</v>
      </c>
      <c r="C727" s="2" t="s">
        <v>818</v>
      </c>
      <c r="D727" s="2" t="str">
        <f t="shared" si="46"/>
        <v>Abubakar Rodriguez</v>
      </c>
      <c r="E727">
        <v>69</v>
      </c>
      <c r="F727" s="3" t="str">
        <f t="shared" si="47"/>
        <v>60-69</v>
      </c>
      <c r="G727" t="s">
        <v>292</v>
      </c>
      <c r="H727" t="s">
        <v>25</v>
      </c>
      <c r="I727" t="s">
        <v>26</v>
      </c>
      <c r="J727">
        <v>3</v>
      </c>
      <c r="K727" t="s">
        <v>62</v>
      </c>
      <c r="L727">
        <v>14</v>
      </c>
      <c r="M727" t="s">
        <v>73</v>
      </c>
      <c r="N727">
        <v>16000</v>
      </c>
      <c r="O727">
        <v>16</v>
      </c>
      <c r="P727">
        <v>256000</v>
      </c>
      <c r="Q727">
        <v>119.46</v>
      </c>
      <c r="R727" t="s">
        <v>46</v>
      </c>
      <c r="S727" t="s">
        <v>229</v>
      </c>
      <c r="T727">
        <f t="shared" si="44"/>
        <v>0</v>
      </c>
      <c r="U727" t="str">
        <f t="shared" si="45"/>
        <v>13-24 Months</v>
      </c>
    </row>
    <row r="728" spans="1:21" hidden="1">
      <c r="A728" t="s">
        <v>1107</v>
      </c>
      <c r="B728" t="s">
        <v>115</v>
      </c>
      <c r="C728" s="2" t="s">
        <v>818</v>
      </c>
      <c r="D728" s="2" t="str">
        <f t="shared" si="46"/>
        <v>Abubakar Rodriguez</v>
      </c>
      <c r="E728">
        <v>69</v>
      </c>
      <c r="F728" s="3" t="str">
        <f t="shared" si="47"/>
        <v>60-69</v>
      </c>
      <c r="G728" t="s">
        <v>292</v>
      </c>
      <c r="H728" t="s">
        <v>51</v>
      </c>
      <c r="I728" t="s">
        <v>26</v>
      </c>
      <c r="J728">
        <v>3</v>
      </c>
      <c r="K728" t="s">
        <v>62</v>
      </c>
      <c r="L728">
        <v>14</v>
      </c>
      <c r="M728" t="s">
        <v>78</v>
      </c>
      <c r="N728">
        <v>24000</v>
      </c>
      <c r="O728">
        <v>10</v>
      </c>
      <c r="P728">
        <v>240000</v>
      </c>
      <c r="Q728">
        <v>190.08</v>
      </c>
      <c r="R728" t="s">
        <v>46</v>
      </c>
      <c r="S728" t="s">
        <v>229</v>
      </c>
      <c r="T728">
        <f t="shared" si="44"/>
        <v>0</v>
      </c>
      <c r="U728" t="str">
        <f t="shared" si="45"/>
        <v>13-24 Months</v>
      </c>
    </row>
    <row r="729" spans="1:21" hidden="1">
      <c r="A729" t="s">
        <v>1108</v>
      </c>
      <c r="B729" t="s">
        <v>146</v>
      </c>
      <c r="C729" s="2" t="s">
        <v>1109</v>
      </c>
      <c r="D729" s="2" t="str">
        <f t="shared" si="46"/>
        <v>Oghene Bush</v>
      </c>
      <c r="E729">
        <v>69</v>
      </c>
      <c r="F729" s="3" t="str">
        <f t="shared" si="47"/>
        <v>60-69</v>
      </c>
      <c r="G729" t="s">
        <v>628</v>
      </c>
      <c r="H729" t="s">
        <v>43</v>
      </c>
      <c r="I729" t="s">
        <v>26</v>
      </c>
      <c r="J729">
        <v>5</v>
      </c>
      <c r="K729" t="s">
        <v>68</v>
      </c>
      <c r="L729">
        <v>13</v>
      </c>
      <c r="M729" t="s">
        <v>71</v>
      </c>
      <c r="N729">
        <v>150000</v>
      </c>
      <c r="O729">
        <v>7</v>
      </c>
      <c r="P729">
        <v>1050000</v>
      </c>
      <c r="Q729">
        <v>154.18</v>
      </c>
      <c r="R729" t="s">
        <v>46</v>
      </c>
      <c r="S729" t="s">
        <v>229</v>
      </c>
      <c r="T729">
        <f t="shared" si="44"/>
        <v>0</v>
      </c>
      <c r="U729" t="str">
        <f t="shared" si="45"/>
        <v>13-24 Months</v>
      </c>
    </row>
    <row r="730" spans="1:21" hidden="1">
      <c r="A730" t="s">
        <v>1110</v>
      </c>
      <c r="B730" t="s">
        <v>146</v>
      </c>
      <c r="C730" s="2" t="s">
        <v>1109</v>
      </c>
      <c r="D730" s="2" t="str">
        <f t="shared" si="46"/>
        <v>Oghene Bush</v>
      </c>
      <c r="E730">
        <v>69</v>
      </c>
      <c r="F730" s="3" t="str">
        <f t="shared" si="47"/>
        <v>60-69</v>
      </c>
      <c r="G730" t="s">
        <v>628</v>
      </c>
      <c r="H730" t="s">
        <v>35</v>
      </c>
      <c r="I730" t="s">
        <v>26</v>
      </c>
      <c r="J730">
        <v>5</v>
      </c>
      <c r="K730" t="s">
        <v>68</v>
      </c>
      <c r="L730">
        <v>13</v>
      </c>
      <c r="M730" t="s">
        <v>49</v>
      </c>
      <c r="N730">
        <v>500</v>
      </c>
      <c r="O730">
        <v>4</v>
      </c>
      <c r="P730">
        <v>2000</v>
      </c>
      <c r="Q730">
        <v>11.09</v>
      </c>
      <c r="R730" t="s">
        <v>46</v>
      </c>
      <c r="S730" t="s">
        <v>229</v>
      </c>
      <c r="T730">
        <f t="shared" si="44"/>
        <v>0</v>
      </c>
      <c r="U730" t="str">
        <f t="shared" si="45"/>
        <v>13-24 Months</v>
      </c>
    </row>
    <row r="731" spans="1:21" hidden="1">
      <c r="A731" t="s">
        <v>1111</v>
      </c>
      <c r="B731" t="s">
        <v>146</v>
      </c>
      <c r="C731" s="2" t="s">
        <v>1109</v>
      </c>
      <c r="D731" s="2" t="str">
        <f t="shared" si="46"/>
        <v>Oghene Bush</v>
      </c>
      <c r="E731">
        <v>69</v>
      </c>
      <c r="F731" s="3" t="str">
        <f t="shared" si="47"/>
        <v>60-69</v>
      </c>
      <c r="G731" t="s">
        <v>628</v>
      </c>
      <c r="H731" t="s">
        <v>51</v>
      </c>
      <c r="I731" t="s">
        <v>26</v>
      </c>
      <c r="J731">
        <v>5</v>
      </c>
      <c r="K731" t="s">
        <v>68</v>
      </c>
      <c r="L731">
        <v>13</v>
      </c>
      <c r="M731" t="s">
        <v>45</v>
      </c>
      <c r="N731">
        <v>20000</v>
      </c>
      <c r="O731">
        <v>16</v>
      </c>
      <c r="P731">
        <v>320000</v>
      </c>
      <c r="Q731">
        <v>137.21</v>
      </c>
      <c r="R731" t="s">
        <v>46</v>
      </c>
      <c r="S731" t="s">
        <v>229</v>
      </c>
      <c r="T731">
        <f t="shared" si="44"/>
        <v>0</v>
      </c>
      <c r="U731" t="str">
        <f t="shared" si="45"/>
        <v>13-24 Months</v>
      </c>
    </row>
    <row r="732" spans="1:21" hidden="1">
      <c r="A732" t="s">
        <v>1112</v>
      </c>
      <c r="B732" t="s">
        <v>232</v>
      </c>
      <c r="C732" s="2" t="s">
        <v>937</v>
      </c>
      <c r="D732" s="2" t="str">
        <f t="shared" si="46"/>
        <v>Grace Wilkerson</v>
      </c>
      <c r="E732">
        <v>38</v>
      </c>
      <c r="F732" s="3" t="str">
        <f t="shared" si="47"/>
        <v>30-39</v>
      </c>
      <c r="G732" t="s">
        <v>34</v>
      </c>
      <c r="H732" t="s">
        <v>35</v>
      </c>
      <c r="I732" t="s">
        <v>26</v>
      </c>
      <c r="J732">
        <v>3</v>
      </c>
      <c r="K732" t="s">
        <v>62</v>
      </c>
      <c r="L732">
        <v>4</v>
      </c>
      <c r="M732" t="s">
        <v>108</v>
      </c>
      <c r="N732">
        <v>1000</v>
      </c>
      <c r="O732">
        <v>18</v>
      </c>
      <c r="P732">
        <v>18000</v>
      </c>
      <c r="Q732">
        <v>148.21</v>
      </c>
      <c r="R732" t="s">
        <v>29</v>
      </c>
      <c r="S732" t="s">
        <v>129</v>
      </c>
      <c r="T732">
        <f t="shared" si="44"/>
        <v>18000</v>
      </c>
      <c r="U732" t="str">
        <f t="shared" si="45"/>
        <v>0-6 Months</v>
      </c>
    </row>
    <row r="733" spans="1:21" hidden="1">
      <c r="A733" t="s">
        <v>1113</v>
      </c>
      <c r="B733" t="s">
        <v>232</v>
      </c>
      <c r="C733" s="2" t="s">
        <v>937</v>
      </c>
      <c r="D733" s="2" t="str">
        <f t="shared" si="46"/>
        <v>Grace Wilkerson</v>
      </c>
      <c r="E733">
        <v>38</v>
      </c>
      <c r="F733" s="3" t="str">
        <f t="shared" si="47"/>
        <v>30-39</v>
      </c>
      <c r="G733" t="s">
        <v>34</v>
      </c>
      <c r="H733" t="s">
        <v>51</v>
      </c>
      <c r="I733" t="s">
        <v>26</v>
      </c>
      <c r="J733">
        <v>3</v>
      </c>
      <c r="K733" t="s">
        <v>62</v>
      </c>
      <c r="L733">
        <v>4</v>
      </c>
      <c r="M733" t="s">
        <v>45</v>
      </c>
      <c r="N733">
        <v>20000</v>
      </c>
      <c r="O733">
        <v>1</v>
      </c>
      <c r="P733">
        <v>20000</v>
      </c>
      <c r="Q733">
        <v>32.03</v>
      </c>
      <c r="R733" t="s">
        <v>29</v>
      </c>
      <c r="S733" t="s">
        <v>129</v>
      </c>
      <c r="T733">
        <f t="shared" si="44"/>
        <v>20000</v>
      </c>
      <c r="U733" t="str">
        <f t="shared" si="45"/>
        <v>0-6 Months</v>
      </c>
    </row>
    <row r="734" spans="1:21" hidden="1">
      <c r="A734" t="s">
        <v>1114</v>
      </c>
      <c r="B734" t="s">
        <v>232</v>
      </c>
      <c r="C734" s="2" t="s">
        <v>1115</v>
      </c>
      <c r="D734" s="2" t="str">
        <f t="shared" si="46"/>
        <v>Grace Salas</v>
      </c>
      <c r="E734">
        <v>30</v>
      </c>
      <c r="F734" s="3" t="str">
        <f t="shared" si="47"/>
        <v>30-39</v>
      </c>
      <c r="G734" t="s">
        <v>201</v>
      </c>
      <c r="H734" t="s">
        <v>25</v>
      </c>
      <c r="I734" t="s">
        <v>26</v>
      </c>
      <c r="J734">
        <v>5</v>
      </c>
      <c r="K734" t="s">
        <v>68</v>
      </c>
      <c r="L734">
        <v>47</v>
      </c>
      <c r="M734" t="s">
        <v>63</v>
      </c>
      <c r="N734">
        <v>9000</v>
      </c>
      <c r="O734">
        <v>4</v>
      </c>
      <c r="P734">
        <v>36000</v>
      </c>
      <c r="Q734">
        <v>46.4</v>
      </c>
      <c r="R734" t="s">
        <v>46</v>
      </c>
      <c r="S734" t="s">
        <v>229</v>
      </c>
      <c r="T734">
        <f t="shared" si="44"/>
        <v>0</v>
      </c>
      <c r="U734" t="str">
        <f t="shared" si="45"/>
        <v>24+ Months</v>
      </c>
    </row>
    <row r="735" spans="1:21" hidden="1">
      <c r="A735" t="s">
        <v>1116</v>
      </c>
      <c r="B735" t="s">
        <v>232</v>
      </c>
      <c r="C735" s="2" t="s">
        <v>1115</v>
      </c>
      <c r="D735" s="2" t="str">
        <f t="shared" si="46"/>
        <v>Grace Salas</v>
      </c>
      <c r="E735">
        <v>30</v>
      </c>
      <c r="F735" s="3" t="str">
        <f t="shared" si="47"/>
        <v>30-39</v>
      </c>
      <c r="G735" t="s">
        <v>201</v>
      </c>
      <c r="H735" t="s">
        <v>43</v>
      </c>
      <c r="I735" t="s">
        <v>26</v>
      </c>
      <c r="J735">
        <v>5</v>
      </c>
      <c r="K735" t="s">
        <v>68</v>
      </c>
      <c r="L735">
        <v>47</v>
      </c>
      <c r="M735" t="s">
        <v>156</v>
      </c>
      <c r="N735">
        <v>25000</v>
      </c>
      <c r="O735">
        <v>8</v>
      </c>
      <c r="P735">
        <v>200000</v>
      </c>
      <c r="Q735">
        <v>45.94</v>
      </c>
      <c r="R735" t="s">
        <v>46</v>
      </c>
      <c r="S735" t="s">
        <v>229</v>
      </c>
      <c r="T735">
        <f t="shared" si="44"/>
        <v>0</v>
      </c>
      <c r="U735" t="str">
        <f t="shared" si="45"/>
        <v>24+ Months</v>
      </c>
    </row>
    <row r="736" spans="1:21" hidden="1">
      <c r="A736" t="s">
        <v>1117</v>
      </c>
      <c r="B736" t="s">
        <v>316</v>
      </c>
      <c r="C736" s="2" t="s">
        <v>1118</v>
      </c>
      <c r="D736" s="2" t="str">
        <f t="shared" si="46"/>
        <v>Ibim Adams</v>
      </c>
      <c r="E736">
        <v>41</v>
      </c>
      <c r="F736" s="3" t="str">
        <f t="shared" si="47"/>
        <v>40-49</v>
      </c>
      <c r="G736" t="s">
        <v>77</v>
      </c>
      <c r="H736" t="s">
        <v>25</v>
      </c>
      <c r="I736" t="s">
        <v>26</v>
      </c>
      <c r="J736">
        <v>5</v>
      </c>
      <c r="K736" t="s">
        <v>68</v>
      </c>
      <c r="L736">
        <v>5</v>
      </c>
      <c r="M736" t="s">
        <v>28</v>
      </c>
      <c r="N736">
        <v>35000</v>
      </c>
      <c r="O736">
        <v>12</v>
      </c>
      <c r="P736">
        <v>420000</v>
      </c>
      <c r="Q736">
        <v>36.020000000000003</v>
      </c>
      <c r="R736" t="s">
        <v>46</v>
      </c>
      <c r="S736" t="s">
        <v>229</v>
      </c>
      <c r="T736">
        <f t="shared" si="44"/>
        <v>0</v>
      </c>
      <c r="U736" t="str">
        <f t="shared" si="45"/>
        <v>0-6 Months</v>
      </c>
    </row>
    <row r="737" spans="1:21" hidden="1">
      <c r="A737" t="s">
        <v>1119</v>
      </c>
      <c r="B737" t="s">
        <v>316</v>
      </c>
      <c r="C737" s="2" t="s">
        <v>1118</v>
      </c>
      <c r="D737" s="2" t="str">
        <f t="shared" si="46"/>
        <v>Ibim Adams</v>
      </c>
      <c r="E737">
        <v>41</v>
      </c>
      <c r="F737" s="3" t="str">
        <f t="shared" si="47"/>
        <v>40-49</v>
      </c>
      <c r="G737" t="s">
        <v>77</v>
      </c>
      <c r="H737" t="s">
        <v>51</v>
      </c>
      <c r="I737" t="s">
        <v>26</v>
      </c>
      <c r="J737">
        <v>5</v>
      </c>
      <c r="K737" t="s">
        <v>68</v>
      </c>
      <c r="L737">
        <v>5</v>
      </c>
      <c r="M737" t="s">
        <v>45</v>
      </c>
      <c r="N737">
        <v>20000</v>
      </c>
      <c r="O737">
        <v>7</v>
      </c>
      <c r="P737">
        <v>140000</v>
      </c>
      <c r="Q737">
        <v>91.82</v>
      </c>
      <c r="R737" t="s">
        <v>46</v>
      </c>
      <c r="S737" t="s">
        <v>229</v>
      </c>
      <c r="T737">
        <f t="shared" si="44"/>
        <v>0</v>
      </c>
      <c r="U737" t="str">
        <f t="shared" si="45"/>
        <v>0-6 Months</v>
      </c>
    </row>
    <row r="738" spans="1:21" hidden="1">
      <c r="A738" t="s">
        <v>1120</v>
      </c>
      <c r="B738" t="s">
        <v>146</v>
      </c>
      <c r="C738" s="2" t="s">
        <v>306</v>
      </c>
      <c r="D738" s="2" t="str">
        <f t="shared" si="46"/>
        <v>Oghene Oliver</v>
      </c>
      <c r="E738">
        <v>50</v>
      </c>
      <c r="F738" s="3" t="str">
        <f t="shared" si="47"/>
        <v>50-59</v>
      </c>
      <c r="G738" t="s">
        <v>162</v>
      </c>
      <c r="H738" t="s">
        <v>35</v>
      </c>
      <c r="I738" t="s">
        <v>36</v>
      </c>
      <c r="J738">
        <v>5</v>
      </c>
      <c r="K738" t="s">
        <v>68</v>
      </c>
      <c r="L738">
        <v>9</v>
      </c>
      <c r="M738" t="s">
        <v>37</v>
      </c>
      <c r="N738">
        <v>5500</v>
      </c>
      <c r="O738">
        <v>11</v>
      </c>
      <c r="P738">
        <v>60500</v>
      </c>
      <c r="Q738">
        <v>83.94</v>
      </c>
      <c r="R738" t="s">
        <v>29</v>
      </c>
      <c r="S738" t="s">
        <v>362</v>
      </c>
      <c r="T738">
        <f t="shared" si="44"/>
        <v>60500</v>
      </c>
      <c r="U738" t="str">
        <f t="shared" si="45"/>
        <v>7-12 Months</v>
      </c>
    </row>
    <row r="739" spans="1:21" hidden="1">
      <c r="A739" t="s">
        <v>1121</v>
      </c>
      <c r="B739" t="s">
        <v>59</v>
      </c>
      <c r="C739" s="2" t="s">
        <v>1122</v>
      </c>
      <c r="D739" s="2" t="str">
        <f t="shared" si="46"/>
        <v>Nura Oconnell</v>
      </c>
      <c r="E739">
        <v>53</v>
      </c>
      <c r="F739" s="3" t="str">
        <f t="shared" si="47"/>
        <v>50-59</v>
      </c>
      <c r="G739" t="s">
        <v>34</v>
      </c>
      <c r="H739" t="s">
        <v>35</v>
      </c>
      <c r="I739" t="s">
        <v>26</v>
      </c>
      <c r="J739">
        <v>1</v>
      </c>
      <c r="K739" t="s">
        <v>44</v>
      </c>
      <c r="L739">
        <v>37</v>
      </c>
      <c r="M739" t="s">
        <v>37</v>
      </c>
      <c r="N739">
        <v>5500</v>
      </c>
      <c r="O739">
        <v>14</v>
      </c>
      <c r="P739">
        <v>77000</v>
      </c>
      <c r="Q739">
        <v>56.19</v>
      </c>
      <c r="R739" t="s">
        <v>46</v>
      </c>
      <c r="S739" t="s">
        <v>229</v>
      </c>
      <c r="T739">
        <f t="shared" si="44"/>
        <v>0</v>
      </c>
      <c r="U739" t="str">
        <f t="shared" si="45"/>
        <v>24+ Months</v>
      </c>
    </row>
    <row r="740" spans="1:21" hidden="1">
      <c r="A740" t="s">
        <v>1123</v>
      </c>
      <c r="B740" t="s">
        <v>59</v>
      </c>
      <c r="C740" s="2" t="s">
        <v>1122</v>
      </c>
      <c r="D740" s="2" t="str">
        <f t="shared" si="46"/>
        <v>Nura Oconnell</v>
      </c>
      <c r="E740">
        <v>53</v>
      </c>
      <c r="F740" s="3" t="str">
        <f t="shared" si="47"/>
        <v>50-59</v>
      </c>
      <c r="G740" t="s">
        <v>34</v>
      </c>
      <c r="H740" t="s">
        <v>51</v>
      </c>
      <c r="I740" t="s">
        <v>26</v>
      </c>
      <c r="J740">
        <v>1</v>
      </c>
      <c r="K740" t="s">
        <v>44</v>
      </c>
      <c r="L740">
        <v>37</v>
      </c>
      <c r="M740" t="s">
        <v>45</v>
      </c>
      <c r="N740">
        <v>20000</v>
      </c>
      <c r="O740">
        <v>14</v>
      </c>
      <c r="P740">
        <v>280000</v>
      </c>
      <c r="Q740">
        <v>49.94</v>
      </c>
      <c r="R740" t="s">
        <v>46</v>
      </c>
      <c r="S740" t="s">
        <v>229</v>
      </c>
      <c r="T740">
        <f t="shared" si="44"/>
        <v>0</v>
      </c>
      <c r="U740" t="str">
        <f t="shared" si="45"/>
        <v>24+ Months</v>
      </c>
    </row>
    <row r="741" spans="1:21" hidden="1">
      <c r="A741" t="s">
        <v>1124</v>
      </c>
      <c r="B741" t="s">
        <v>59</v>
      </c>
      <c r="C741" s="2" t="s">
        <v>1122</v>
      </c>
      <c r="D741" s="2" t="str">
        <f t="shared" si="46"/>
        <v>Nura Oconnell</v>
      </c>
      <c r="E741">
        <v>53</v>
      </c>
      <c r="F741" s="3" t="str">
        <f t="shared" si="47"/>
        <v>50-59</v>
      </c>
      <c r="G741" t="s">
        <v>34</v>
      </c>
      <c r="H741" t="s">
        <v>25</v>
      </c>
      <c r="I741" t="s">
        <v>26</v>
      </c>
      <c r="J741">
        <v>1</v>
      </c>
      <c r="K741" t="s">
        <v>44</v>
      </c>
      <c r="L741">
        <v>37</v>
      </c>
      <c r="M741" t="s">
        <v>57</v>
      </c>
      <c r="N741">
        <v>4500</v>
      </c>
      <c r="O741">
        <v>19</v>
      </c>
      <c r="P741">
        <v>85500</v>
      </c>
      <c r="Q741">
        <v>178.42</v>
      </c>
      <c r="R741" t="s">
        <v>46</v>
      </c>
      <c r="S741" t="s">
        <v>229</v>
      </c>
      <c r="T741">
        <f t="shared" si="44"/>
        <v>0</v>
      </c>
      <c r="U741" t="str">
        <f t="shared" si="45"/>
        <v>24+ Months</v>
      </c>
    </row>
    <row r="742" spans="1:21" hidden="1">
      <c r="A742" t="s">
        <v>1125</v>
      </c>
      <c r="B742" t="s">
        <v>134</v>
      </c>
      <c r="C742" s="2" t="s">
        <v>552</v>
      </c>
      <c r="D742" s="2" t="str">
        <f t="shared" si="46"/>
        <v>Obinna Miller</v>
      </c>
      <c r="E742">
        <v>16</v>
      </c>
      <c r="F742" s="3" t="str">
        <f t="shared" si="47"/>
        <v>10-19</v>
      </c>
      <c r="G742" t="s">
        <v>151</v>
      </c>
      <c r="H742" t="s">
        <v>35</v>
      </c>
      <c r="I742" t="s">
        <v>26</v>
      </c>
      <c r="J742">
        <v>5</v>
      </c>
      <c r="K742" t="s">
        <v>68</v>
      </c>
      <c r="L742">
        <v>3</v>
      </c>
      <c r="M742" t="s">
        <v>108</v>
      </c>
      <c r="N742">
        <v>1000</v>
      </c>
      <c r="O742">
        <v>8</v>
      </c>
      <c r="P742">
        <v>8000</v>
      </c>
      <c r="Q742">
        <v>90.76</v>
      </c>
      <c r="R742" t="s">
        <v>29</v>
      </c>
      <c r="S742" t="s">
        <v>30</v>
      </c>
      <c r="T742">
        <f t="shared" si="44"/>
        <v>8000</v>
      </c>
      <c r="U742" t="str">
        <f t="shared" si="45"/>
        <v>0-6 Months</v>
      </c>
    </row>
    <row r="743" spans="1:21" hidden="1">
      <c r="A743" t="s">
        <v>1126</v>
      </c>
      <c r="B743" t="s">
        <v>219</v>
      </c>
      <c r="C743" s="2" t="s">
        <v>239</v>
      </c>
      <c r="D743" s="2" t="str">
        <f t="shared" si="46"/>
        <v>Chinedu Christian</v>
      </c>
      <c r="E743">
        <v>17</v>
      </c>
      <c r="F743" s="3" t="str">
        <f t="shared" si="47"/>
        <v>10-19</v>
      </c>
      <c r="G743" t="s">
        <v>151</v>
      </c>
      <c r="H743" t="s">
        <v>35</v>
      </c>
      <c r="I743" t="s">
        <v>26</v>
      </c>
      <c r="J743">
        <v>3</v>
      </c>
      <c r="K743" t="s">
        <v>62</v>
      </c>
      <c r="L743">
        <v>9</v>
      </c>
      <c r="M743" t="s">
        <v>49</v>
      </c>
      <c r="N743">
        <v>500</v>
      </c>
      <c r="O743">
        <v>15</v>
      </c>
      <c r="P743">
        <v>7500</v>
      </c>
      <c r="Q743">
        <v>32.78</v>
      </c>
      <c r="R743" t="s">
        <v>29</v>
      </c>
      <c r="S743" t="s">
        <v>97</v>
      </c>
      <c r="T743">
        <f t="shared" si="44"/>
        <v>7500</v>
      </c>
      <c r="U743" t="str">
        <f t="shared" si="45"/>
        <v>7-12 Months</v>
      </c>
    </row>
    <row r="744" spans="1:21" hidden="1">
      <c r="A744" t="s">
        <v>1127</v>
      </c>
      <c r="B744" t="s">
        <v>490</v>
      </c>
      <c r="C744" s="2" t="s">
        <v>881</v>
      </c>
      <c r="D744" s="2" t="str">
        <f t="shared" si="46"/>
        <v>Funke Carlson</v>
      </c>
      <c r="E744">
        <v>74</v>
      </c>
      <c r="F744" s="3" t="str">
        <f t="shared" si="47"/>
        <v>70-79</v>
      </c>
      <c r="G744" t="s">
        <v>42</v>
      </c>
      <c r="H744" t="s">
        <v>35</v>
      </c>
      <c r="I744" t="s">
        <v>26</v>
      </c>
      <c r="J744">
        <v>2</v>
      </c>
      <c r="K744" t="s">
        <v>27</v>
      </c>
      <c r="L744">
        <v>56</v>
      </c>
      <c r="M744" t="s">
        <v>137</v>
      </c>
      <c r="N744">
        <v>900</v>
      </c>
      <c r="O744">
        <v>3</v>
      </c>
      <c r="P744">
        <v>2700</v>
      </c>
      <c r="Q744">
        <v>172.15</v>
      </c>
      <c r="R744" t="s">
        <v>46</v>
      </c>
      <c r="S744" t="s">
        <v>229</v>
      </c>
      <c r="T744">
        <f t="shared" si="44"/>
        <v>0</v>
      </c>
      <c r="U744" t="str">
        <f t="shared" si="45"/>
        <v>24+ Months</v>
      </c>
    </row>
    <row r="745" spans="1:21" hidden="1">
      <c r="A745" t="s">
        <v>1128</v>
      </c>
      <c r="B745" t="s">
        <v>490</v>
      </c>
      <c r="C745" s="2" t="s">
        <v>881</v>
      </c>
      <c r="D745" s="2" t="str">
        <f t="shared" si="46"/>
        <v>Funke Carlson</v>
      </c>
      <c r="E745">
        <v>74</v>
      </c>
      <c r="F745" s="3" t="str">
        <f t="shared" si="47"/>
        <v>70-79</v>
      </c>
      <c r="G745" t="s">
        <v>42</v>
      </c>
      <c r="H745" t="s">
        <v>43</v>
      </c>
      <c r="I745" t="s">
        <v>26</v>
      </c>
      <c r="J745">
        <v>2</v>
      </c>
      <c r="K745" t="s">
        <v>27</v>
      </c>
      <c r="L745">
        <v>56</v>
      </c>
      <c r="M745" t="s">
        <v>143</v>
      </c>
      <c r="N745">
        <v>75000</v>
      </c>
      <c r="O745">
        <v>11</v>
      </c>
      <c r="P745">
        <v>825000</v>
      </c>
      <c r="Q745">
        <v>178.74</v>
      </c>
      <c r="R745" t="s">
        <v>46</v>
      </c>
      <c r="S745" t="s">
        <v>229</v>
      </c>
      <c r="T745">
        <f t="shared" si="44"/>
        <v>0</v>
      </c>
      <c r="U745" t="str">
        <f t="shared" si="45"/>
        <v>24+ Months</v>
      </c>
    </row>
    <row r="746" spans="1:21" hidden="1">
      <c r="A746" t="s">
        <v>1129</v>
      </c>
      <c r="B746" t="s">
        <v>385</v>
      </c>
      <c r="C746" s="2" t="s">
        <v>1130</v>
      </c>
      <c r="D746" s="2" t="str">
        <f t="shared" si="46"/>
        <v>Sarah Woods</v>
      </c>
      <c r="E746">
        <v>20</v>
      </c>
      <c r="F746" s="3" t="str">
        <f t="shared" si="47"/>
        <v>20-29</v>
      </c>
      <c r="G746" t="s">
        <v>136</v>
      </c>
      <c r="H746" t="s">
        <v>51</v>
      </c>
      <c r="I746" t="s">
        <v>36</v>
      </c>
      <c r="J746">
        <v>5</v>
      </c>
      <c r="K746" t="s">
        <v>68</v>
      </c>
      <c r="L746">
        <v>49</v>
      </c>
      <c r="M746" t="s">
        <v>78</v>
      </c>
      <c r="N746">
        <v>24000</v>
      </c>
      <c r="O746">
        <v>2</v>
      </c>
      <c r="P746">
        <v>48000</v>
      </c>
      <c r="Q746">
        <v>176.23</v>
      </c>
      <c r="R746" t="s">
        <v>46</v>
      </c>
      <c r="S746" t="s">
        <v>229</v>
      </c>
      <c r="T746">
        <f t="shared" si="44"/>
        <v>0</v>
      </c>
      <c r="U746" t="str">
        <f t="shared" si="45"/>
        <v>24+ Months</v>
      </c>
    </row>
    <row r="747" spans="1:21" hidden="1">
      <c r="A747" t="s">
        <v>1131</v>
      </c>
      <c r="B747" t="s">
        <v>345</v>
      </c>
      <c r="C747" s="2" t="s">
        <v>1132</v>
      </c>
      <c r="D747" s="2" t="str">
        <f t="shared" si="46"/>
        <v>Michael Jacobs</v>
      </c>
      <c r="E747">
        <v>62</v>
      </c>
      <c r="F747" s="3" t="str">
        <f t="shared" si="47"/>
        <v>60-69</v>
      </c>
      <c r="G747" t="s">
        <v>61</v>
      </c>
      <c r="H747" t="s">
        <v>43</v>
      </c>
      <c r="I747" t="s">
        <v>26</v>
      </c>
      <c r="J747">
        <v>4</v>
      </c>
      <c r="K747" t="s">
        <v>155</v>
      </c>
      <c r="L747">
        <v>25</v>
      </c>
      <c r="M747" t="s">
        <v>45</v>
      </c>
      <c r="N747">
        <v>20000</v>
      </c>
      <c r="O747">
        <v>7</v>
      </c>
      <c r="P747">
        <v>140000</v>
      </c>
      <c r="Q747">
        <v>112.37</v>
      </c>
      <c r="R747" t="s">
        <v>46</v>
      </c>
      <c r="S747" t="s">
        <v>229</v>
      </c>
      <c r="T747">
        <f t="shared" si="44"/>
        <v>0</v>
      </c>
      <c r="U747" t="str">
        <f t="shared" si="45"/>
        <v>24+ Months</v>
      </c>
    </row>
    <row r="748" spans="1:21" hidden="1">
      <c r="A748" t="s">
        <v>1133</v>
      </c>
      <c r="B748" t="s">
        <v>345</v>
      </c>
      <c r="C748" s="2" t="s">
        <v>1132</v>
      </c>
      <c r="D748" s="2" t="str">
        <f t="shared" si="46"/>
        <v>Michael Jacobs</v>
      </c>
      <c r="E748">
        <v>62</v>
      </c>
      <c r="F748" s="3" t="str">
        <f t="shared" si="47"/>
        <v>60-69</v>
      </c>
      <c r="G748" t="s">
        <v>61</v>
      </c>
      <c r="H748" t="s">
        <v>51</v>
      </c>
      <c r="I748" t="s">
        <v>26</v>
      </c>
      <c r="J748">
        <v>4</v>
      </c>
      <c r="K748" t="s">
        <v>155</v>
      </c>
      <c r="L748">
        <v>25</v>
      </c>
      <c r="M748" t="s">
        <v>45</v>
      </c>
      <c r="N748">
        <v>20000</v>
      </c>
      <c r="O748">
        <v>8</v>
      </c>
      <c r="P748">
        <v>160000</v>
      </c>
      <c r="Q748">
        <v>196.26</v>
      </c>
      <c r="R748" t="s">
        <v>46</v>
      </c>
      <c r="S748" t="s">
        <v>229</v>
      </c>
      <c r="T748">
        <f t="shared" si="44"/>
        <v>0</v>
      </c>
      <c r="U748" t="str">
        <f t="shared" si="45"/>
        <v>24+ Months</v>
      </c>
    </row>
    <row r="749" spans="1:21" hidden="1">
      <c r="A749" t="s">
        <v>1134</v>
      </c>
      <c r="B749" t="s">
        <v>131</v>
      </c>
      <c r="C749" s="2" t="s">
        <v>669</v>
      </c>
      <c r="D749" s="2" t="str">
        <f t="shared" si="46"/>
        <v>David Murphy</v>
      </c>
      <c r="E749">
        <v>30</v>
      </c>
      <c r="F749" s="3" t="str">
        <f t="shared" si="47"/>
        <v>30-39</v>
      </c>
      <c r="G749" t="s">
        <v>292</v>
      </c>
      <c r="H749" t="s">
        <v>35</v>
      </c>
      <c r="I749" t="s">
        <v>26</v>
      </c>
      <c r="J749">
        <v>3</v>
      </c>
      <c r="K749" t="s">
        <v>62</v>
      </c>
      <c r="L749">
        <v>49</v>
      </c>
      <c r="M749" t="s">
        <v>137</v>
      </c>
      <c r="N749">
        <v>900</v>
      </c>
      <c r="O749">
        <v>12</v>
      </c>
      <c r="P749">
        <v>10800</v>
      </c>
      <c r="Q749">
        <v>13.14</v>
      </c>
      <c r="R749" t="s">
        <v>46</v>
      </c>
      <c r="S749" t="s">
        <v>229</v>
      </c>
      <c r="T749">
        <f t="shared" si="44"/>
        <v>0</v>
      </c>
      <c r="U749" t="str">
        <f t="shared" si="45"/>
        <v>24+ Months</v>
      </c>
    </row>
    <row r="750" spans="1:21" hidden="1">
      <c r="A750" t="s">
        <v>1135</v>
      </c>
      <c r="B750" t="s">
        <v>131</v>
      </c>
      <c r="C750" s="2" t="s">
        <v>669</v>
      </c>
      <c r="D750" s="2" t="str">
        <f t="shared" si="46"/>
        <v>David Murphy</v>
      </c>
      <c r="E750">
        <v>30</v>
      </c>
      <c r="F750" s="3" t="str">
        <f t="shared" si="47"/>
        <v>30-39</v>
      </c>
      <c r="G750" t="s">
        <v>292</v>
      </c>
      <c r="H750" t="s">
        <v>25</v>
      </c>
      <c r="I750" t="s">
        <v>26</v>
      </c>
      <c r="J750">
        <v>3</v>
      </c>
      <c r="K750" t="s">
        <v>62</v>
      </c>
      <c r="L750">
        <v>49</v>
      </c>
      <c r="M750" t="s">
        <v>28</v>
      </c>
      <c r="N750">
        <v>35000</v>
      </c>
      <c r="O750">
        <v>17</v>
      </c>
      <c r="P750">
        <v>595000</v>
      </c>
      <c r="Q750">
        <v>97.5</v>
      </c>
      <c r="R750" t="s">
        <v>46</v>
      </c>
      <c r="S750" t="s">
        <v>229</v>
      </c>
      <c r="T750">
        <f t="shared" si="44"/>
        <v>0</v>
      </c>
      <c r="U750" t="str">
        <f t="shared" si="45"/>
        <v>24+ Months</v>
      </c>
    </row>
    <row r="751" spans="1:21" hidden="1">
      <c r="A751" t="s">
        <v>1136</v>
      </c>
      <c r="B751" t="s">
        <v>80</v>
      </c>
      <c r="C751" s="2" t="s">
        <v>498</v>
      </c>
      <c r="D751" s="2" t="str">
        <f t="shared" si="46"/>
        <v>Ifeanyi Cooper</v>
      </c>
      <c r="E751">
        <v>76</v>
      </c>
      <c r="F751" s="3" t="str">
        <f t="shared" si="47"/>
        <v>70-79</v>
      </c>
      <c r="G751" t="s">
        <v>111</v>
      </c>
      <c r="H751" t="s">
        <v>51</v>
      </c>
      <c r="I751" t="s">
        <v>36</v>
      </c>
      <c r="J751">
        <v>1</v>
      </c>
      <c r="K751" t="s">
        <v>44</v>
      </c>
      <c r="L751">
        <v>29</v>
      </c>
      <c r="M751" t="s">
        <v>91</v>
      </c>
      <c r="N751">
        <v>14500</v>
      </c>
      <c r="O751">
        <v>10</v>
      </c>
      <c r="P751">
        <v>145000</v>
      </c>
      <c r="Q751">
        <v>179.64</v>
      </c>
      <c r="R751" t="s">
        <v>29</v>
      </c>
      <c r="S751" t="s">
        <v>229</v>
      </c>
      <c r="T751">
        <f t="shared" si="44"/>
        <v>145000</v>
      </c>
      <c r="U751" t="str">
        <f t="shared" si="45"/>
        <v>24+ Months</v>
      </c>
    </row>
    <row r="752" spans="1:21" hidden="1">
      <c r="A752" t="s">
        <v>1137</v>
      </c>
      <c r="B752" t="s">
        <v>121</v>
      </c>
      <c r="C752" s="2" t="s">
        <v>1138</v>
      </c>
      <c r="D752" s="2" t="str">
        <f t="shared" si="46"/>
        <v>Kunle Manning</v>
      </c>
      <c r="E752">
        <v>29</v>
      </c>
      <c r="F752" s="3" t="str">
        <f t="shared" si="47"/>
        <v>20-29</v>
      </c>
      <c r="G752" t="s">
        <v>34</v>
      </c>
      <c r="H752" t="s">
        <v>51</v>
      </c>
      <c r="I752" t="s">
        <v>36</v>
      </c>
      <c r="J752">
        <v>4</v>
      </c>
      <c r="K752" t="s">
        <v>155</v>
      </c>
      <c r="L752">
        <v>8</v>
      </c>
      <c r="M752" t="s">
        <v>78</v>
      </c>
      <c r="N752">
        <v>24000</v>
      </c>
      <c r="O752">
        <v>16</v>
      </c>
      <c r="P752">
        <v>384000</v>
      </c>
      <c r="Q752">
        <v>186.38</v>
      </c>
      <c r="R752" t="s">
        <v>29</v>
      </c>
      <c r="S752" t="s">
        <v>362</v>
      </c>
      <c r="T752">
        <f t="shared" si="44"/>
        <v>384000</v>
      </c>
      <c r="U752" t="str">
        <f t="shared" si="45"/>
        <v>7-12 Months</v>
      </c>
    </row>
    <row r="753" spans="1:21" hidden="1">
      <c r="A753" t="s">
        <v>1139</v>
      </c>
      <c r="B753" t="s">
        <v>121</v>
      </c>
      <c r="C753" s="2" t="s">
        <v>1138</v>
      </c>
      <c r="D753" s="2" t="str">
        <f t="shared" si="46"/>
        <v>Kunle Manning</v>
      </c>
      <c r="E753">
        <v>29</v>
      </c>
      <c r="F753" s="3" t="str">
        <f t="shared" si="47"/>
        <v>20-29</v>
      </c>
      <c r="G753" t="s">
        <v>34</v>
      </c>
      <c r="H753" t="s">
        <v>25</v>
      </c>
      <c r="I753" t="s">
        <v>36</v>
      </c>
      <c r="J753">
        <v>4</v>
      </c>
      <c r="K753" t="s">
        <v>155</v>
      </c>
      <c r="L753">
        <v>8</v>
      </c>
      <c r="M753" t="s">
        <v>63</v>
      </c>
      <c r="N753">
        <v>9000</v>
      </c>
      <c r="O753">
        <v>1</v>
      </c>
      <c r="P753">
        <v>9000</v>
      </c>
      <c r="Q753">
        <v>84.32</v>
      </c>
      <c r="R753" t="s">
        <v>29</v>
      </c>
      <c r="S753" t="s">
        <v>362</v>
      </c>
      <c r="T753">
        <f t="shared" si="44"/>
        <v>9000</v>
      </c>
      <c r="U753" t="str">
        <f t="shared" si="45"/>
        <v>7-12 Months</v>
      </c>
    </row>
    <row r="754" spans="1:21" hidden="1">
      <c r="A754" t="s">
        <v>1140</v>
      </c>
      <c r="B754" t="s">
        <v>121</v>
      </c>
      <c r="C754" s="2" t="s">
        <v>1138</v>
      </c>
      <c r="D754" s="2" t="str">
        <f t="shared" si="46"/>
        <v>Kunle Manning</v>
      </c>
      <c r="E754">
        <v>29</v>
      </c>
      <c r="F754" s="3" t="str">
        <f t="shared" si="47"/>
        <v>20-29</v>
      </c>
      <c r="G754" t="s">
        <v>34</v>
      </c>
      <c r="H754" t="s">
        <v>43</v>
      </c>
      <c r="I754" t="s">
        <v>36</v>
      </c>
      <c r="J754">
        <v>4</v>
      </c>
      <c r="K754" t="s">
        <v>155</v>
      </c>
      <c r="L754">
        <v>8</v>
      </c>
      <c r="M754" t="s">
        <v>78</v>
      </c>
      <c r="N754">
        <v>24000</v>
      </c>
      <c r="O754">
        <v>1</v>
      </c>
      <c r="P754">
        <v>24000</v>
      </c>
      <c r="Q754">
        <v>38.22</v>
      </c>
      <c r="R754" t="s">
        <v>29</v>
      </c>
      <c r="S754" t="s">
        <v>362</v>
      </c>
      <c r="T754">
        <f t="shared" si="44"/>
        <v>24000</v>
      </c>
      <c r="U754" t="str">
        <f t="shared" si="45"/>
        <v>7-12 Months</v>
      </c>
    </row>
    <row r="755" spans="1:21" hidden="1">
      <c r="A755" t="s">
        <v>1141</v>
      </c>
      <c r="B755" t="s">
        <v>59</v>
      </c>
      <c r="C755" s="2" t="s">
        <v>818</v>
      </c>
      <c r="D755" s="2" t="str">
        <f t="shared" si="46"/>
        <v>Nura Rodriguez</v>
      </c>
      <c r="E755">
        <v>58</v>
      </c>
      <c r="F755" s="3" t="str">
        <f t="shared" si="47"/>
        <v>50-59</v>
      </c>
      <c r="G755" t="s">
        <v>151</v>
      </c>
      <c r="H755" t="s">
        <v>35</v>
      </c>
      <c r="I755" t="s">
        <v>36</v>
      </c>
      <c r="J755">
        <v>4</v>
      </c>
      <c r="K755" t="s">
        <v>155</v>
      </c>
      <c r="L755">
        <v>42</v>
      </c>
      <c r="M755" t="s">
        <v>227</v>
      </c>
      <c r="N755">
        <v>600</v>
      </c>
      <c r="O755">
        <v>10</v>
      </c>
      <c r="P755">
        <v>6000</v>
      </c>
      <c r="Q755">
        <v>179.71</v>
      </c>
      <c r="R755" t="s">
        <v>46</v>
      </c>
      <c r="S755" t="s">
        <v>229</v>
      </c>
      <c r="T755">
        <f t="shared" si="44"/>
        <v>0</v>
      </c>
      <c r="U755" t="str">
        <f t="shared" si="45"/>
        <v>24+ Months</v>
      </c>
    </row>
    <row r="756" spans="1:21" hidden="1">
      <c r="A756" t="s">
        <v>1142</v>
      </c>
      <c r="B756" t="s">
        <v>59</v>
      </c>
      <c r="C756" s="2" t="s">
        <v>818</v>
      </c>
      <c r="D756" s="2" t="str">
        <f t="shared" si="46"/>
        <v>Nura Rodriguez</v>
      </c>
      <c r="E756">
        <v>58</v>
      </c>
      <c r="F756" s="3" t="str">
        <f t="shared" si="47"/>
        <v>50-59</v>
      </c>
      <c r="G756" t="s">
        <v>151</v>
      </c>
      <c r="H756" t="s">
        <v>25</v>
      </c>
      <c r="I756" t="s">
        <v>36</v>
      </c>
      <c r="J756">
        <v>4</v>
      </c>
      <c r="K756" t="s">
        <v>155</v>
      </c>
      <c r="L756">
        <v>42</v>
      </c>
      <c r="M756" t="s">
        <v>57</v>
      </c>
      <c r="N756">
        <v>4500</v>
      </c>
      <c r="O756">
        <v>8</v>
      </c>
      <c r="P756">
        <v>36000</v>
      </c>
      <c r="Q756">
        <v>157.96</v>
      </c>
      <c r="R756" t="s">
        <v>46</v>
      </c>
      <c r="S756" t="s">
        <v>229</v>
      </c>
      <c r="T756">
        <f t="shared" si="44"/>
        <v>0</v>
      </c>
      <c r="U756" t="str">
        <f t="shared" si="45"/>
        <v>24+ Months</v>
      </c>
    </row>
    <row r="757" spans="1:21" hidden="1">
      <c r="A757" t="s">
        <v>1143</v>
      </c>
      <c r="B757" t="s">
        <v>59</v>
      </c>
      <c r="C757" s="2" t="s">
        <v>818</v>
      </c>
      <c r="D757" s="2" t="str">
        <f t="shared" si="46"/>
        <v>Nura Rodriguez</v>
      </c>
      <c r="E757">
        <v>58</v>
      </c>
      <c r="F757" s="3" t="str">
        <f t="shared" si="47"/>
        <v>50-59</v>
      </c>
      <c r="G757" t="s">
        <v>151</v>
      </c>
      <c r="H757" t="s">
        <v>43</v>
      </c>
      <c r="I757" t="s">
        <v>36</v>
      </c>
      <c r="J757">
        <v>4</v>
      </c>
      <c r="K757" t="s">
        <v>155</v>
      </c>
      <c r="L757">
        <v>42</v>
      </c>
      <c r="M757" t="s">
        <v>71</v>
      </c>
      <c r="N757">
        <v>150000</v>
      </c>
      <c r="O757">
        <v>10</v>
      </c>
      <c r="P757">
        <v>1500000</v>
      </c>
      <c r="Q757">
        <v>74.69</v>
      </c>
      <c r="R757" t="s">
        <v>46</v>
      </c>
      <c r="S757" t="s">
        <v>229</v>
      </c>
      <c r="T757">
        <f t="shared" ref="T757:T820" si="48">IF(R757="Yes",P757,0)</f>
        <v>0</v>
      </c>
      <c r="U757" t="str">
        <f t="shared" ref="U757:U820" si="49">IF(L757&lt;=6,"0-6 Months",
IF(L757&lt;=12,"7-12 Months",
IF(L757&lt;=24,"13-24 Months","24+ Months")))</f>
        <v>24+ Months</v>
      </c>
    </row>
    <row r="758" spans="1:21" hidden="1">
      <c r="A758" t="s">
        <v>1144</v>
      </c>
      <c r="B758" t="s">
        <v>447</v>
      </c>
      <c r="C758" s="2" t="s">
        <v>902</v>
      </c>
      <c r="D758" s="2" t="str">
        <f t="shared" si="46"/>
        <v>Sade George</v>
      </c>
      <c r="E758">
        <v>34</v>
      </c>
      <c r="F758" s="3" t="str">
        <f t="shared" si="47"/>
        <v>30-39</v>
      </c>
      <c r="G758" t="s">
        <v>210</v>
      </c>
      <c r="H758" t="s">
        <v>43</v>
      </c>
      <c r="I758" t="s">
        <v>36</v>
      </c>
      <c r="J758">
        <v>5</v>
      </c>
      <c r="K758" t="s">
        <v>68</v>
      </c>
      <c r="L758">
        <v>30</v>
      </c>
      <c r="M758" t="s">
        <v>82</v>
      </c>
      <c r="N758">
        <v>30000</v>
      </c>
      <c r="O758">
        <v>4</v>
      </c>
      <c r="P758">
        <v>120000</v>
      </c>
      <c r="Q758">
        <v>32.67</v>
      </c>
      <c r="R758" t="s">
        <v>46</v>
      </c>
      <c r="S758" t="s">
        <v>229</v>
      </c>
      <c r="T758">
        <f t="shared" si="48"/>
        <v>0</v>
      </c>
      <c r="U758" t="str">
        <f t="shared" si="49"/>
        <v>24+ Months</v>
      </c>
    </row>
    <row r="759" spans="1:21" hidden="1">
      <c r="A759" t="s">
        <v>1145</v>
      </c>
      <c r="B759" t="s">
        <v>447</v>
      </c>
      <c r="C759" s="2" t="s">
        <v>902</v>
      </c>
      <c r="D759" s="2" t="str">
        <f t="shared" si="46"/>
        <v>Sade George</v>
      </c>
      <c r="E759">
        <v>34</v>
      </c>
      <c r="F759" s="3" t="str">
        <f t="shared" si="47"/>
        <v>30-39</v>
      </c>
      <c r="G759" t="s">
        <v>210</v>
      </c>
      <c r="H759" t="s">
        <v>51</v>
      </c>
      <c r="I759" t="s">
        <v>36</v>
      </c>
      <c r="J759">
        <v>5</v>
      </c>
      <c r="K759" t="s">
        <v>68</v>
      </c>
      <c r="L759">
        <v>30</v>
      </c>
      <c r="M759" t="s">
        <v>52</v>
      </c>
      <c r="N759">
        <v>9000</v>
      </c>
      <c r="O759">
        <v>19</v>
      </c>
      <c r="P759">
        <v>171000</v>
      </c>
      <c r="Q759">
        <v>198.76</v>
      </c>
      <c r="R759" t="s">
        <v>46</v>
      </c>
      <c r="S759" t="s">
        <v>229</v>
      </c>
      <c r="T759">
        <f t="shared" si="48"/>
        <v>0</v>
      </c>
      <c r="U759" t="str">
        <f t="shared" si="49"/>
        <v>24+ Months</v>
      </c>
    </row>
    <row r="760" spans="1:21" hidden="1">
      <c r="A760" t="s">
        <v>1146</v>
      </c>
      <c r="B760" t="s">
        <v>447</v>
      </c>
      <c r="C760" s="2" t="s">
        <v>902</v>
      </c>
      <c r="D760" s="2" t="str">
        <f t="shared" si="46"/>
        <v>Sade George</v>
      </c>
      <c r="E760">
        <v>34</v>
      </c>
      <c r="F760" s="3" t="str">
        <f t="shared" si="47"/>
        <v>30-39</v>
      </c>
      <c r="G760" t="s">
        <v>210</v>
      </c>
      <c r="H760" t="s">
        <v>35</v>
      </c>
      <c r="I760" t="s">
        <v>36</v>
      </c>
      <c r="J760">
        <v>5</v>
      </c>
      <c r="K760" t="s">
        <v>68</v>
      </c>
      <c r="L760">
        <v>30</v>
      </c>
      <c r="M760" t="s">
        <v>227</v>
      </c>
      <c r="N760">
        <v>600</v>
      </c>
      <c r="O760">
        <v>12</v>
      </c>
      <c r="P760">
        <v>7200</v>
      </c>
      <c r="Q760">
        <v>88.46</v>
      </c>
      <c r="R760" t="s">
        <v>46</v>
      </c>
      <c r="S760" t="s">
        <v>229</v>
      </c>
      <c r="T760">
        <f t="shared" si="48"/>
        <v>0</v>
      </c>
      <c r="U760" t="str">
        <f t="shared" si="49"/>
        <v>24+ Months</v>
      </c>
    </row>
    <row r="761" spans="1:21" hidden="1">
      <c r="A761" t="s">
        <v>1147</v>
      </c>
      <c r="B761" t="s">
        <v>149</v>
      </c>
      <c r="C761" s="2" t="s">
        <v>1148</v>
      </c>
      <c r="D761" s="2" t="str">
        <f t="shared" si="46"/>
        <v>Shehu Torres</v>
      </c>
      <c r="E761">
        <v>42</v>
      </c>
      <c r="F761" s="3" t="str">
        <f t="shared" si="47"/>
        <v>40-49</v>
      </c>
      <c r="G761" t="s">
        <v>175</v>
      </c>
      <c r="H761" t="s">
        <v>43</v>
      </c>
      <c r="I761" t="s">
        <v>36</v>
      </c>
      <c r="J761">
        <v>3</v>
      </c>
      <c r="K761" t="s">
        <v>62</v>
      </c>
      <c r="L761">
        <v>23</v>
      </c>
      <c r="M761" t="s">
        <v>45</v>
      </c>
      <c r="N761">
        <v>20000</v>
      </c>
      <c r="O761">
        <v>13</v>
      </c>
      <c r="P761">
        <v>260000</v>
      </c>
      <c r="Q761">
        <v>184.13</v>
      </c>
      <c r="R761" t="s">
        <v>46</v>
      </c>
      <c r="S761" t="s">
        <v>229</v>
      </c>
      <c r="T761">
        <f t="shared" si="48"/>
        <v>0</v>
      </c>
      <c r="U761" t="str">
        <f t="shared" si="49"/>
        <v>13-24 Months</v>
      </c>
    </row>
    <row r="762" spans="1:21" hidden="1">
      <c r="A762" t="s">
        <v>1149</v>
      </c>
      <c r="B762" t="s">
        <v>232</v>
      </c>
      <c r="C762" s="2" t="s">
        <v>1150</v>
      </c>
      <c r="D762" s="2" t="str">
        <f t="shared" si="46"/>
        <v>Grace Walsh</v>
      </c>
      <c r="E762">
        <v>34</v>
      </c>
      <c r="F762" s="3" t="str">
        <f t="shared" si="47"/>
        <v>30-39</v>
      </c>
      <c r="G762" t="s">
        <v>42</v>
      </c>
      <c r="H762" t="s">
        <v>43</v>
      </c>
      <c r="I762" t="s">
        <v>36</v>
      </c>
      <c r="J762">
        <v>5</v>
      </c>
      <c r="K762" t="s">
        <v>68</v>
      </c>
      <c r="L762">
        <v>10</v>
      </c>
      <c r="M762" t="s">
        <v>78</v>
      </c>
      <c r="N762">
        <v>24000</v>
      </c>
      <c r="O762">
        <v>19</v>
      </c>
      <c r="P762">
        <v>456000</v>
      </c>
      <c r="Q762">
        <v>193.94</v>
      </c>
      <c r="R762" t="s">
        <v>46</v>
      </c>
      <c r="S762" t="s">
        <v>229</v>
      </c>
      <c r="T762">
        <f t="shared" si="48"/>
        <v>0</v>
      </c>
      <c r="U762" t="str">
        <f t="shared" si="49"/>
        <v>7-12 Months</v>
      </c>
    </row>
    <row r="763" spans="1:21" hidden="1">
      <c r="A763" t="s">
        <v>1151</v>
      </c>
      <c r="B763" t="s">
        <v>232</v>
      </c>
      <c r="C763" s="2" t="s">
        <v>1150</v>
      </c>
      <c r="D763" s="2" t="str">
        <f t="shared" si="46"/>
        <v>Grace Walsh</v>
      </c>
      <c r="E763">
        <v>34</v>
      </c>
      <c r="F763" s="3" t="str">
        <f t="shared" si="47"/>
        <v>30-39</v>
      </c>
      <c r="G763" t="s">
        <v>42</v>
      </c>
      <c r="H763" t="s">
        <v>25</v>
      </c>
      <c r="I763" t="s">
        <v>36</v>
      </c>
      <c r="J763">
        <v>5</v>
      </c>
      <c r="K763" t="s">
        <v>68</v>
      </c>
      <c r="L763">
        <v>10</v>
      </c>
      <c r="M763" t="s">
        <v>57</v>
      </c>
      <c r="N763">
        <v>4500</v>
      </c>
      <c r="O763">
        <v>15</v>
      </c>
      <c r="P763">
        <v>67500</v>
      </c>
      <c r="Q763">
        <v>160.02000000000001</v>
      </c>
      <c r="R763" t="s">
        <v>46</v>
      </c>
      <c r="S763" t="s">
        <v>229</v>
      </c>
      <c r="T763">
        <f t="shared" si="48"/>
        <v>0</v>
      </c>
      <c r="U763" t="str">
        <f t="shared" si="49"/>
        <v>7-12 Months</v>
      </c>
    </row>
    <row r="764" spans="1:21" hidden="1">
      <c r="A764" t="s">
        <v>1152</v>
      </c>
      <c r="B764" t="s">
        <v>249</v>
      </c>
      <c r="C764" s="2" t="s">
        <v>1153</v>
      </c>
      <c r="D764" s="2" t="str">
        <f t="shared" si="46"/>
        <v>Tega Cervantes</v>
      </c>
      <c r="E764">
        <v>30</v>
      </c>
      <c r="F764" s="3" t="str">
        <f t="shared" si="47"/>
        <v>30-39</v>
      </c>
      <c r="G764" t="s">
        <v>292</v>
      </c>
      <c r="H764" t="s">
        <v>35</v>
      </c>
      <c r="I764" t="s">
        <v>26</v>
      </c>
      <c r="J764">
        <v>3</v>
      </c>
      <c r="K764" t="s">
        <v>62</v>
      </c>
      <c r="L764">
        <v>9</v>
      </c>
      <c r="M764" t="s">
        <v>69</v>
      </c>
      <c r="N764">
        <v>3500</v>
      </c>
      <c r="O764">
        <v>2</v>
      </c>
      <c r="P764">
        <v>7000</v>
      </c>
      <c r="Q764">
        <v>18.95</v>
      </c>
      <c r="R764" t="s">
        <v>29</v>
      </c>
      <c r="S764" t="s">
        <v>30</v>
      </c>
      <c r="T764">
        <f t="shared" si="48"/>
        <v>7000</v>
      </c>
      <c r="U764" t="str">
        <f t="shared" si="49"/>
        <v>7-12 Months</v>
      </c>
    </row>
    <row r="765" spans="1:21" hidden="1">
      <c r="A765" t="s">
        <v>1154</v>
      </c>
      <c r="B765" t="s">
        <v>84</v>
      </c>
      <c r="C765" s="2" t="s">
        <v>660</v>
      </c>
      <c r="D765" s="2" t="str">
        <f t="shared" si="46"/>
        <v>Bala Dunn</v>
      </c>
      <c r="E765">
        <v>44</v>
      </c>
      <c r="F765" s="3" t="str">
        <f t="shared" si="47"/>
        <v>40-49</v>
      </c>
      <c r="G765" t="s">
        <v>263</v>
      </c>
      <c r="H765" t="s">
        <v>51</v>
      </c>
      <c r="I765" t="s">
        <v>26</v>
      </c>
      <c r="J765">
        <v>5</v>
      </c>
      <c r="K765" t="s">
        <v>68</v>
      </c>
      <c r="L765">
        <v>2</v>
      </c>
      <c r="M765" t="s">
        <v>45</v>
      </c>
      <c r="N765">
        <v>20000</v>
      </c>
      <c r="O765">
        <v>20</v>
      </c>
      <c r="P765">
        <v>400000</v>
      </c>
      <c r="Q765">
        <v>98.35</v>
      </c>
      <c r="R765" t="s">
        <v>46</v>
      </c>
      <c r="S765" t="s">
        <v>229</v>
      </c>
      <c r="T765">
        <f t="shared" si="48"/>
        <v>0</v>
      </c>
      <c r="U765" t="str">
        <f t="shared" si="49"/>
        <v>0-6 Months</v>
      </c>
    </row>
    <row r="766" spans="1:21" hidden="1">
      <c r="A766" t="s">
        <v>1155</v>
      </c>
      <c r="B766" t="s">
        <v>84</v>
      </c>
      <c r="C766" s="2" t="s">
        <v>660</v>
      </c>
      <c r="D766" s="2" t="str">
        <f t="shared" si="46"/>
        <v>Bala Dunn</v>
      </c>
      <c r="E766">
        <v>44</v>
      </c>
      <c r="F766" s="3" t="str">
        <f t="shared" si="47"/>
        <v>40-49</v>
      </c>
      <c r="G766" t="s">
        <v>263</v>
      </c>
      <c r="H766" t="s">
        <v>43</v>
      </c>
      <c r="I766" t="s">
        <v>26</v>
      </c>
      <c r="J766">
        <v>5</v>
      </c>
      <c r="K766" t="s">
        <v>68</v>
      </c>
      <c r="L766">
        <v>2</v>
      </c>
      <c r="M766" t="s">
        <v>52</v>
      </c>
      <c r="N766">
        <v>9000</v>
      </c>
      <c r="O766">
        <v>12</v>
      </c>
      <c r="P766">
        <v>108000</v>
      </c>
      <c r="Q766">
        <v>181.74</v>
      </c>
      <c r="R766" t="s">
        <v>46</v>
      </c>
      <c r="S766" t="s">
        <v>229</v>
      </c>
      <c r="T766">
        <f t="shared" si="48"/>
        <v>0</v>
      </c>
      <c r="U766" t="str">
        <f t="shared" si="49"/>
        <v>0-6 Months</v>
      </c>
    </row>
    <row r="767" spans="1:21" hidden="1">
      <c r="A767" t="s">
        <v>1156</v>
      </c>
      <c r="B767" t="s">
        <v>84</v>
      </c>
      <c r="C767" s="2" t="s">
        <v>660</v>
      </c>
      <c r="D767" s="2" t="str">
        <f t="shared" si="46"/>
        <v>Bala Dunn</v>
      </c>
      <c r="E767">
        <v>44</v>
      </c>
      <c r="F767" s="3" t="str">
        <f t="shared" si="47"/>
        <v>40-49</v>
      </c>
      <c r="G767" t="s">
        <v>263</v>
      </c>
      <c r="H767" t="s">
        <v>25</v>
      </c>
      <c r="I767" t="s">
        <v>26</v>
      </c>
      <c r="J767">
        <v>5</v>
      </c>
      <c r="K767" t="s">
        <v>68</v>
      </c>
      <c r="L767">
        <v>2</v>
      </c>
      <c r="M767" t="s">
        <v>28</v>
      </c>
      <c r="N767">
        <v>35000</v>
      </c>
      <c r="O767">
        <v>14</v>
      </c>
      <c r="P767">
        <v>490000</v>
      </c>
      <c r="Q767">
        <v>30.02</v>
      </c>
      <c r="R767" t="s">
        <v>46</v>
      </c>
      <c r="S767" t="s">
        <v>229</v>
      </c>
      <c r="T767">
        <f t="shared" si="48"/>
        <v>0</v>
      </c>
      <c r="U767" t="str">
        <f t="shared" si="49"/>
        <v>0-6 Months</v>
      </c>
    </row>
    <row r="768" spans="1:21" hidden="1">
      <c r="A768" t="s">
        <v>1157</v>
      </c>
      <c r="B768" t="s">
        <v>54</v>
      </c>
      <c r="C768" s="2" t="s">
        <v>398</v>
      </c>
      <c r="D768" s="2" t="str">
        <f t="shared" si="46"/>
        <v>Ejiro Gonzalez</v>
      </c>
      <c r="E768">
        <v>65</v>
      </c>
      <c r="F768" s="3" t="str">
        <f t="shared" si="47"/>
        <v>60-69</v>
      </c>
      <c r="G768" t="s">
        <v>56</v>
      </c>
      <c r="H768" t="s">
        <v>51</v>
      </c>
      <c r="I768" t="s">
        <v>26</v>
      </c>
      <c r="J768">
        <v>3</v>
      </c>
      <c r="K768" t="s">
        <v>62</v>
      </c>
      <c r="L768">
        <v>19</v>
      </c>
      <c r="M768" t="s">
        <v>91</v>
      </c>
      <c r="N768">
        <v>14500</v>
      </c>
      <c r="O768">
        <v>14</v>
      </c>
      <c r="P768">
        <v>203000</v>
      </c>
      <c r="Q768">
        <v>148.43</v>
      </c>
      <c r="R768" t="s">
        <v>46</v>
      </c>
      <c r="S768" t="s">
        <v>229</v>
      </c>
      <c r="T768">
        <f t="shared" si="48"/>
        <v>0</v>
      </c>
      <c r="U768" t="str">
        <f t="shared" si="49"/>
        <v>13-24 Months</v>
      </c>
    </row>
    <row r="769" spans="1:21" hidden="1">
      <c r="A769" t="s">
        <v>1158</v>
      </c>
      <c r="B769" t="s">
        <v>54</v>
      </c>
      <c r="C769" s="2" t="s">
        <v>398</v>
      </c>
      <c r="D769" s="2" t="str">
        <f t="shared" si="46"/>
        <v>Ejiro Gonzalez</v>
      </c>
      <c r="E769">
        <v>65</v>
      </c>
      <c r="F769" s="3" t="str">
        <f t="shared" si="47"/>
        <v>60-69</v>
      </c>
      <c r="G769" t="s">
        <v>56</v>
      </c>
      <c r="H769" t="s">
        <v>35</v>
      </c>
      <c r="I769" t="s">
        <v>26</v>
      </c>
      <c r="J769">
        <v>3</v>
      </c>
      <c r="K769" t="s">
        <v>62</v>
      </c>
      <c r="L769">
        <v>19</v>
      </c>
      <c r="M769" t="s">
        <v>37</v>
      </c>
      <c r="N769">
        <v>5500</v>
      </c>
      <c r="O769">
        <v>14</v>
      </c>
      <c r="P769">
        <v>77000</v>
      </c>
      <c r="Q769">
        <v>58.08</v>
      </c>
      <c r="R769" t="s">
        <v>46</v>
      </c>
      <c r="S769" t="s">
        <v>229</v>
      </c>
      <c r="T769">
        <f t="shared" si="48"/>
        <v>0</v>
      </c>
      <c r="U769" t="str">
        <f t="shared" si="49"/>
        <v>13-24 Months</v>
      </c>
    </row>
    <row r="770" spans="1:21" hidden="1">
      <c r="A770" t="s">
        <v>1159</v>
      </c>
      <c r="B770" t="s">
        <v>316</v>
      </c>
      <c r="C770" s="2" t="s">
        <v>985</v>
      </c>
      <c r="D770" s="2" t="str">
        <f t="shared" si="46"/>
        <v>Ibim Schwartz</v>
      </c>
      <c r="E770">
        <v>33</v>
      </c>
      <c r="F770" s="3" t="str">
        <f t="shared" si="47"/>
        <v>30-39</v>
      </c>
      <c r="G770" t="s">
        <v>415</v>
      </c>
      <c r="H770" t="s">
        <v>43</v>
      </c>
      <c r="I770" t="s">
        <v>26</v>
      </c>
      <c r="J770">
        <v>4</v>
      </c>
      <c r="K770" t="s">
        <v>155</v>
      </c>
      <c r="L770">
        <v>14</v>
      </c>
      <c r="M770" t="s">
        <v>45</v>
      </c>
      <c r="N770">
        <v>20000</v>
      </c>
      <c r="O770">
        <v>9</v>
      </c>
      <c r="P770">
        <v>180000</v>
      </c>
      <c r="Q770">
        <v>1.82</v>
      </c>
      <c r="R770" t="s">
        <v>46</v>
      </c>
      <c r="S770" t="s">
        <v>229</v>
      </c>
      <c r="T770">
        <f t="shared" si="48"/>
        <v>0</v>
      </c>
      <c r="U770" t="str">
        <f t="shared" si="49"/>
        <v>13-24 Months</v>
      </c>
    </row>
    <row r="771" spans="1:21" hidden="1">
      <c r="A771" t="s">
        <v>1160</v>
      </c>
      <c r="B771" t="s">
        <v>316</v>
      </c>
      <c r="C771" s="2" t="s">
        <v>985</v>
      </c>
      <c r="D771" s="2" t="str">
        <f t="shared" ref="D771:D834" si="50">B771&amp;" "&amp;C771</f>
        <v>Ibim Schwartz</v>
      </c>
      <c r="E771">
        <v>33</v>
      </c>
      <c r="F771" s="3" t="str">
        <f t="shared" ref="F771:F834" si="51">FLOOR(E771, 10)&amp;"-"&amp;FLOOR(E771, 10)+9</f>
        <v>30-39</v>
      </c>
      <c r="G771" t="s">
        <v>415</v>
      </c>
      <c r="H771" t="s">
        <v>51</v>
      </c>
      <c r="I771" t="s">
        <v>26</v>
      </c>
      <c r="J771">
        <v>4</v>
      </c>
      <c r="K771" t="s">
        <v>155</v>
      </c>
      <c r="L771">
        <v>14</v>
      </c>
      <c r="M771" t="s">
        <v>91</v>
      </c>
      <c r="N771">
        <v>14500</v>
      </c>
      <c r="O771">
        <v>15</v>
      </c>
      <c r="P771">
        <v>217500</v>
      </c>
      <c r="Q771">
        <v>35.39</v>
      </c>
      <c r="R771" t="s">
        <v>46</v>
      </c>
      <c r="S771" t="s">
        <v>229</v>
      </c>
      <c r="T771">
        <f t="shared" si="48"/>
        <v>0</v>
      </c>
      <c r="U771" t="str">
        <f t="shared" si="49"/>
        <v>13-24 Months</v>
      </c>
    </row>
    <row r="772" spans="1:21" hidden="1">
      <c r="A772" t="s">
        <v>1161</v>
      </c>
      <c r="B772" t="s">
        <v>316</v>
      </c>
      <c r="C772" s="2" t="s">
        <v>985</v>
      </c>
      <c r="D772" s="2" t="str">
        <f t="shared" si="50"/>
        <v>Ibim Schwartz</v>
      </c>
      <c r="E772">
        <v>33</v>
      </c>
      <c r="F772" s="3" t="str">
        <f t="shared" si="51"/>
        <v>30-39</v>
      </c>
      <c r="G772" t="s">
        <v>415</v>
      </c>
      <c r="H772" t="s">
        <v>25</v>
      </c>
      <c r="I772" t="s">
        <v>26</v>
      </c>
      <c r="J772">
        <v>4</v>
      </c>
      <c r="K772" t="s">
        <v>155</v>
      </c>
      <c r="L772">
        <v>14</v>
      </c>
      <c r="M772" t="s">
        <v>57</v>
      </c>
      <c r="N772">
        <v>4500</v>
      </c>
      <c r="O772">
        <v>13</v>
      </c>
      <c r="P772">
        <v>58500</v>
      </c>
      <c r="Q772">
        <v>40.25</v>
      </c>
      <c r="R772" t="s">
        <v>46</v>
      </c>
      <c r="S772" t="s">
        <v>229</v>
      </c>
      <c r="T772">
        <f t="shared" si="48"/>
        <v>0</v>
      </c>
      <c r="U772" t="str">
        <f t="shared" si="49"/>
        <v>13-24 Months</v>
      </c>
    </row>
    <row r="773" spans="1:21" hidden="1">
      <c r="A773" t="s">
        <v>1162</v>
      </c>
      <c r="B773" t="s">
        <v>115</v>
      </c>
      <c r="C773" s="2" t="s">
        <v>127</v>
      </c>
      <c r="D773" s="2" t="str">
        <f t="shared" si="50"/>
        <v>Abubakar Hayes</v>
      </c>
      <c r="E773">
        <v>78</v>
      </c>
      <c r="F773" s="3" t="str">
        <f t="shared" si="51"/>
        <v>70-79</v>
      </c>
      <c r="G773" t="s">
        <v>175</v>
      </c>
      <c r="H773" t="s">
        <v>25</v>
      </c>
      <c r="I773" t="s">
        <v>36</v>
      </c>
      <c r="J773">
        <v>4</v>
      </c>
      <c r="K773" t="s">
        <v>155</v>
      </c>
      <c r="L773">
        <v>54</v>
      </c>
      <c r="M773" t="s">
        <v>73</v>
      </c>
      <c r="N773">
        <v>16000</v>
      </c>
      <c r="O773">
        <v>10</v>
      </c>
      <c r="P773">
        <v>160000</v>
      </c>
      <c r="Q773">
        <v>31.23</v>
      </c>
      <c r="R773" t="s">
        <v>46</v>
      </c>
      <c r="S773" t="s">
        <v>229</v>
      </c>
      <c r="T773">
        <f t="shared" si="48"/>
        <v>0</v>
      </c>
      <c r="U773" t="str">
        <f t="shared" si="49"/>
        <v>24+ Months</v>
      </c>
    </row>
    <row r="774" spans="1:21" hidden="1">
      <c r="A774" t="s">
        <v>1163</v>
      </c>
      <c r="B774" t="s">
        <v>115</v>
      </c>
      <c r="C774" s="2" t="s">
        <v>127</v>
      </c>
      <c r="D774" s="2" t="str">
        <f t="shared" si="50"/>
        <v>Abubakar Hayes</v>
      </c>
      <c r="E774">
        <v>78</v>
      </c>
      <c r="F774" s="3" t="str">
        <f t="shared" si="51"/>
        <v>70-79</v>
      </c>
      <c r="G774" t="s">
        <v>175</v>
      </c>
      <c r="H774" t="s">
        <v>51</v>
      </c>
      <c r="I774" t="s">
        <v>36</v>
      </c>
      <c r="J774">
        <v>4</v>
      </c>
      <c r="K774" t="s">
        <v>155</v>
      </c>
      <c r="L774">
        <v>54</v>
      </c>
      <c r="M774" t="s">
        <v>91</v>
      </c>
      <c r="N774">
        <v>14500</v>
      </c>
      <c r="O774">
        <v>10</v>
      </c>
      <c r="P774">
        <v>145000</v>
      </c>
      <c r="Q774">
        <v>25.27</v>
      </c>
      <c r="R774" t="s">
        <v>46</v>
      </c>
      <c r="S774" t="s">
        <v>229</v>
      </c>
      <c r="T774">
        <f t="shared" si="48"/>
        <v>0</v>
      </c>
      <c r="U774" t="str">
        <f t="shared" si="49"/>
        <v>24+ Months</v>
      </c>
    </row>
    <row r="775" spans="1:21" hidden="1">
      <c r="A775" t="s">
        <v>1164</v>
      </c>
      <c r="B775" t="s">
        <v>316</v>
      </c>
      <c r="C775" s="2" t="s">
        <v>892</v>
      </c>
      <c r="D775" s="2" t="str">
        <f t="shared" si="50"/>
        <v>Ibim Ballard</v>
      </c>
      <c r="E775">
        <v>38</v>
      </c>
      <c r="F775" s="3" t="str">
        <f t="shared" si="51"/>
        <v>30-39</v>
      </c>
      <c r="G775" t="s">
        <v>117</v>
      </c>
      <c r="H775" t="s">
        <v>43</v>
      </c>
      <c r="I775" t="s">
        <v>26</v>
      </c>
      <c r="J775">
        <v>3</v>
      </c>
      <c r="K775" t="s">
        <v>62</v>
      </c>
      <c r="L775">
        <v>2</v>
      </c>
      <c r="M775" t="s">
        <v>71</v>
      </c>
      <c r="N775">
        <v>150000</v>
      </c>
      <c r="O775">
        <v>9</v>
      </c>
      <c r="P775">
        <v>1350000</v>
      </c>
      <c r="Q775">
        <v>113.33</v>
      </c>
      <c r="R775" t="s">
        <v>46</v>
      </c>
      <c r="S775" t="s">
        <v>229</v>
      </c>
      <c r="T775">
        <f t="shared" si="48"/>
        <v>0</v>
      </c>
      <c r="U775" t="str">
        <f t="shared" si="49"/>
        <v>0-6 Months</v>
      </c>
    </row>
    <row r="776" spans="1:21" hidden="1">
      <c r="A776" t="s">
        <v>1165</v>
      </c>
      <c r="B776" t="s">
        <v>369</v>
      </c>
      <c r="C776" s="2" t="s">
        <v>561</v>
      </c>
      <c r="D776" s="2" t="str">
        <f t="shared" si="50"/>
        <v>John Nielsen</v>
      </c>
      <c r="E776">
        <v>31</v>
      </c>
      <c r="F776" s="3" t="str">
        <f t="shared" si="51"/>
        <v>30-39</v>
      </c>
      <c r="G776" t="s">
        <v>56</v>
      </c>
      <c r="H776" t="s">
        <v>43</v>
      </c>
      <c r="I776" t="s">
        <v>26</v>
      </c>
      <c r="J776">
        <v>2</v>
      </c>
      <c r="K776" t="s">
        <v>27</v>
      </c>
      <c r="L776">
        <v>55</v>
      </c>
      <c r="M776" t="s">
        <v>71</v>
      </c>
      <c r="N776">
        <v>150000</v>
      </c>
      <c r="O776">
        <v>5</v>
      </c>
      <c r="P776">
        <v>750000</v>
      </c>
      <c r="Q776">
        <v>175.72</v>
      </c>
      <c r="R776" t="s">
        <v>46</v>
      </c>
      <c r="S776" t="s">
        <v>229</v>
      </c>
      <c r="T776">
        <f t="shared" si="48"/>
        <v>0</v>
      </c>
      <c r="U776" t="str">
        <f t="shared" si="49"/>
        <v>24+ Months</v>
      </c>
    </row>
    <row r="777" spans="1:21" hidden="1">
      <c r="A777" t="s">
        <v>1166</v>
      </c>
      <c r="B777" t="s">
        <v>146</v>
      </c>
      <c r="C777" s="2" t="s">
        <v>1167</v>
      </c>
      <c r="D777" s="2" t="str">
        <f t="shared" si="50"/>
        <v>Oghene Pacheco</v>
      </c>
      <c r="E777">
        <v>36</v>
      </c>
      <c r="F777" s="3" t="str">
        <f t="shared" si="51"/>
        <v>30-39</v>
      </c>
      <c r="G777" t="s">
        <v>61</v>
      </c>
      <c r="H777" t="s">
        <v>51</v>
      </c>
      <c r="I777" t="s">
        <v>36</v>
      </c>
      <c r="J777">
        <v>3</v>
      </c>
      <c r="K777" t="s">
        <v>62</v>
      </c>
      <c r="L777">
        <v>24</v>
      </c>
      <c r="M777" t="s">
        <v>45</v>
      </c>
      <c r="N777">
        <v>20000</v>
      </c>
      <c r="O777">
        <v>20</v>
      </c>
      <c r="P777">
        <v>400000</v>
      </c>
      <c r="Q777">
        <v>153.06</v>
      </c>
      <c r="R777" t="s">
        <v>29</v>
      </c>
      <c r="S777" t="s">
        <v>129</v>
      </c>
      <c r="T777">
        <f t="shared" si="48"/>
        <v>400000</v>
      </c>
      <c r="U777" t="str">
        <f t="shared" si="49"/>
        <v>13-24 Months</v>
      </c>
    </row>
    <row r="778" spans="1:21" hidden="1">
      <c r="A778" t="s">
        <v>1168</v>
      </c>
      <c r="B778" t="s">
        <v>146</v>
      </c>
      <c r="C778" s="2" t="s">
        <v>1167</v>
      </c>
      <c r="D778" s="2" t="str">
        <f t="shared" si="50"/>
        <v>Oghene Pacheco</v>
      </c>
      <c r="E778">
        <v>36</v>
      </c>
      <c r="F778" s="3" t="str">
        <f t="shared" si="51"/>
        <v>30-39</v>
      </c>
      <c r="G778" t="s">
        <v>61</v>
      </c>
      <c r="H778" t="s">
        <v>43</v>
      </c>
      <c r="I778" t="s">
        <v>36</v>
      </c>
      <c r="J778">
        <v>3</v>
      </c>
      <c r="K778" t="s">
        <v>62</v>
      </c>
      <c r="L778">
        <v>24</v>
      </c>
      <c r="M778" t="s">
        <v>82</v>
      </c>
      <c r="N778">
        <v>30000</v>
      </c>
      <c r="O778">
        <v>11</v>
      </c>
      <c r="P778">
        <v>330000</v>
      </c>
      <c r="Q778">
        <v>108.97</v>
      </c>
      <c r="R778" t="s">
        <v>29</v>
      </c>
      <c r="S778" t="s">
        <v>129</v>
      </c>
      <c r="T778">
        <f t="shared" si="48"/>
        <v>330000</v>
      </c>
      <c r="U778" t="str">
        <f t="shared" si="49"/>
        <v>13-24 Months</v>
      </c>
    </row>
    <row r="779" spans="1:21" hidden="1">
      <c r="A779" t="s">
        <v>1169</v>
      </c>
      <c r="B779" t="s">
        <v>146</v>
      </c>
      <c r="C779" s="2" t="s">
        <v>1167</v>
      </c>
      <c r="D779" s="2" t="str">
        <f t="shared" si="50"/>
        <v>Oghene Pacheco</v>
      </c>
      <c r="E779">
        <v>36</v>
      </c>
      <c r="F779" s="3" t="str">
        <f t="shared" si="51"/>
        <v>30-39</v>
      </c>
      <c r="G779" t="s">
        <v>61</v>
      </c>
      <c r="H779" t="s">
        <v>35</v>
      </c>
      <c r="I779" t="s">
        <v>36</v>
      </c>
      <c r="J779">
        <v>3</v>
      </c>
      <c r="K779" t="s">
        <v>62</v>
      </c>
      <c r="L779">
        <v>24</v>
      </c>
      <c r="M779" t="s">
        <v>49</v>
      </c>
      <c r="N779">
        <v>500</v>
      </c>
      <c r="O779">
        <v>12</v>
      </c>
      <c r="P779">
        <v>6000</v>
      </c>
      <c r="Q779">
        <v>54.66</v>
      </c>
      <c r="R779" t="s">
        <v>29</v>
      </c>
      <c r="S779" t="s">
        <v>129</v>
      </c>
      <c r="T779">
        <f t="shared" si="48"/>
        <v>6000</v>
      </c>
      <c r="U779" t="str">
        <f t="shared" si="49"/>
        <v>13-24 Months</v>
      </c>
    </row>
    <row r="780" spans="1:21" hidden="1">
      <c r="A780" t="s">
        <v>1170</v>
      </c>
      <c r="B780" t="s">
        <v>22</v>
      </c>
      <c r="C780" s="2" t="s">
        <v>158</v>
      </c>
      <c r="D780" s="2" t="str">
        <f t="shared" si="50"/>
        <v>Ngozi Johnson</v>
      </c>
      <c r="E780">
        <v>61</v>
      </c>
      <c r="F780" s="3" t="str">
        <f t="shared" si="51"/>
        <v>60-69</v>
      </c>
      <c r="G780" t="s">
        <v>67</v>
      </c>
      <c r="H780" t="s">
        <v>43</v>
      </c>
      <c r="I780" t="s">
        <v>26</v>
      </c>
      <c r="J780">
        <v>3</v>
      </c>
      <c r="K780" t="s">
        <v>62</v>
      </c>
      <c r="L780">
        <v>9</v>
      </c>
      <c r="M780" t="s">
        <v>45</v>
      </c>
      <c r="N780">
        <v>20000</v>
      </c>
      <c r="O780">
        <v>17</v>
      </c>
      <c r="P780">
        <v>340000</v>
      </c>
      <c r="Q780">
        <v>43.97</v>
      </c>
      <c r="R780" t="s">
        <v>46</v>
      </c>
      <c r="S780" t="s">
        <v>229</v>
      </c>
      <c r="T780">
        <f t="shared" si="48"/>
        <v>0</v>
      </c>
      <c r="U780" t="str">
        <f t="shared" si="49"/>
        <v>7-12 Months</v>
      </c>
    </row>
    <row r="781" spans="1:21" hidden="1">
      <c r="A781" t="s">
        <v>1171</v>
      </c>
      <c r="B781" t="s">
        <v>22</v>
      </c>
      <c r="C781" s="2" t="s">
        <v>158</v>
      </c>
      <c r="D781" s="2" t="str">
        <f t="shared" si="50"/>
        <v>Ngozi Johnson</v>
      </c>
      <c r="E781">
        <v>61</v>
      </c>
      <c r="F781" s="3" t="str">
        <f t="shared" si="51"/>
        <v>60-69</v>
      </c>
      <c r="G781" t="s">
        <v>67</v>
      </c>
      <c r="H781" t="s">
        <v>51</v>
      </c>
      <c r="I781" t="s">
        <v>26</v>
      </c>
      <c r="J781">
        <v>3</v>
      </c>
      <c r="K781" t="s">
        <v>62</v>
      </c>
      <c r="L781">
        <v>9</v>
      </c>
      <c r="M781" t="s">
        <v>45</v>
      </c>
      <c r="N781">
        <v>20000</v>
      </c>
      <c r="O781">
        <v>18</v>
      </c>
      <c r="P781">
        <v>360000</v>
      </c>
      <c r="Q781">
        <v>166.4</v>
      </c>
      <c r="R781" t="s">
        <v>46</v>
      </c>
      <c r="S781" t="s">
        <v>229</v>
      </c>
      <c r="T781">
        <f t="shared" si="48"/>
        <v>0</v>
      </c>
      <c r="U781" t="str">
        <f t="shared" si="49"/>
        <v>7-12 Months</v>
      </c>
    </row>
    <row r="782" spans="1:21" hidden="1">
      <c r="A782" t="s">
        <v>1172</v>
      </c>
      <c r="B782" t="s">
        <v>385</v>
      </c>
      <c r="C782" s="2" t="s">
        <v>1173</v>
      </c>
      <c r="D782" s="2" t="str">
        <f t="shared" si="50"/>
        <v>Sarah Perry</v>
      </c>
      <c r="E782">
        <v>30</v>
      </c>
      <c r="F782" s="3" t="str">
        <f t="shared" si="51"/>
        <v>30-39</v>
      </c>
      <c r="G782" t="s">
        <v>151</v>
      </c>
      <c r="H782" t="s">
        <v>35</v>
      </c>
      <c r="I782" t="s">
        <v>36</v>
      </c>
      <c r="J782">
        <v>1</v>
      </c>
      <c r="K782" t="s">
        <v>44</v>
      </c>
      <c r="L782">
        <v>59</v>
      </c>
      <c r="M782" t="s">
        <v>69</v>
      </c>
      <c r="N782">
        <v>3500</v>
      </c>
      <c r="O782">
        <v>12</v>
      </c>
      <c r="P782">
        <v>42000</v>
      </c>
      <c r="Q782">
        <v>62.66</v>
      </c>
      <c r="R782" t="s">
        <v>46</v>
      </c>
      <c r="S782" t="s">
        <v>229</v>
      </c>
      <c r="T782">
        <f t="shared" si="48"/>
        <v>0</v>
      </c>
      <c r="U782" t="str">
        <f t="shared" si="49"/>
        <v>24+ Months</v>
      </c>
    </row>
    <row r="783" spans="1:21" hidden="1">
      <c r="A783" t="s">
        <v>1174</v>
      </c>
      <c r="B783" t="s">
        <v>140</v>
      </c>
      <c r="C783" s="2" t="s">
        <v>1175</v>
      </c>
      <c r="D783" s="2" t="str">
        <f t="shared" si="50"/>
        <v>Amaka Shannon</v>
      </c>
      <c r="E783">
        <v>72</v>
      </c>
      <c r="F783" s="3" t="str">
        <f t="shared" si="51"/>
        <v>70-79</v>
      </c>
      <c r="G783" t="s">
        <v>96</v>
      </c>
      <c r="H783" t="s">
        <v>25</v>
      </c>
      <c r="I783" t="s">
        <v>36</v>
      </c>
      <c r="J783">
        <v>1</v>
      </c>
      <c r="K783" t="s">
        <v>44</v>
      </c>
      <c r="L783">
        <v>12</v>
      </c>
      <c r="M783" t="s">
        <v>57</v>
      </c>
      <c r="N783">
        <v>4500</v>
      </c>
      <c r="O783">
        <v>5</v>
      </c>
      <c r="P783">
        <v>22500</v>
      </c>
      <c r="Q783">
        <v>171.43</v>
      </c>
      <c r="R783" t="s">
        <v>46</v>
      </c>
      <c r="S783" t="s">
        <v>229</v>
      </c>
      <c r="T783">
        <f t="shared" si="48"/>
        <v>0</v>
      </c>
      <c r="U783" t="str">
        <f t="shared" si="49"/>
        <v>7-12 Months</v>
      </c>
    </row>
    <row r="784" spans="1:21" hidden="1">
      <c r="A784" t="s">
        <v>1176</v>
      </c>
      <c r="B784" t="s">
        <v>59</v>
      </c>
      <c r="C784" s="2" t="s">
        <v>1177</v>
      </c>
      <c r="D784" s="2" t="str">
        <f t="shared" si="50"/>
        <v>Nura Delgado</v>
      </c>
      <c r="E784">
        <v>55</v>
      </c>
      <c r="F784" s="3" t="str">
        <f t="shared" si="51"/>
        <v>50-59</v>
      </c>
      <c r="G784" t="s">
        <v>194</v>
      </c>
      <c r="H784" t="s">
        <v>51</v>
      </c>
      <c r="I784" t="s">
        <v>26</v>
      </c>
      <c r="J784">
        <v>4</v>
      </c>
      <c r="K784" t="s">
        <v>155</v>
      </c>
      <c r="L784">
        <v>9</v>
      </c>
      <c r="M784" t="s">
        <v>52</v>
      </c>
      <c r="N784">
        <v>9000</v>
      </c>
      <c r="O784">
        <v>14</v>
      </c>
      <c r="P784">
        <v>126000</v>
      </c>
      <c r="Q784">
        <v>155.05000000000001</v>
      </c>
      <c r="R784" t="s">
        <v>46</v>
      </c>
      <c r="S784" t="s">
        <v>229</v>
      </c>
      <c r="T784">
        <f t="shared" si="48"/>
        <v>0</v>
      </c>
      <c r="U784" t="str">
        <f t="shared" si="49"/>
        <v>7-12 Months</v>
      </c>
    </row>
    <row r="785" spans="1:21" hidden="1">
      <c r="A785" t="s">
        <v>1178</v>
      </c>
      <c r="B785" t="s">
        <v>404</v>
      </c>
      <c r="C785" s="2" t="s">
        <v>1179</v>
      </c>
      <c r="D785" s="2" t="str">
        <f t="shared" si="50"/>
        <v>Bola Vincent</v>
      </c>
      <c r="E785">
        <v>41</v>
      </c>
      <c r="F785" s="3" t="str">
        <f t="shared" si="51"/>
        <v>40-49</v>
      </c>
      <c r="G785" t="s">
        <v>128</v>
      </c>
      <c r="H785" t="s">
        <v>51</v>
      </c>
      <c r="I785" t="s">
        <v>26</v>
      </c>
      <c r="J785">
        <v>4</v>
      </c>
      <c r="K785" t="s">
        <v>155</v>
      </c>
      <c r="L785">
        <v>51</v>
      </c>
      <c r="M785" t="s">
        <v>82</v>
      </c>
      <c r="N785">
        <v>30000</v>
      </c>
      <c r="O785">
        <v>4</v>
      </c>
      <c r="P785">
        <v>120000</v>
      </c>
      <c r="Q785">
        <v>133.68</v>
      </c>
      <c r="R785" t="s">
        <v>29</v>
      </c>
      <c r="S785" t="s">
        <v>129</v>
      </c>
      <c r="T785">
        <f t="shared" si="48"/>
        <v>120000</v>
      </c>
      <c r="U785" t="str">
        <f t="shared" si="49"/>
        <v>24+ Months</v>
      </c>
    </row>
    <row r="786" spans="1:21" hidden="1">
      <c r="A786" t="s">
        <v>1180</v>
      </c>
      <c r="B786" t="s">
        <v>80</v>
      </c>
      <c r="C786" s="2" t="s">
        <v>1181</v>
      </c>
      <c r="D786" s="2" t="str">
        <f t="shared" si="50"/>
        <v>Ifeanyi Adkins</v>
      </c>
      <c r="E786">
        <v>42</v>
      </c>
      <c r="F786" s="3" t="str">
        <f t="shared" si="51"/>
        <v>40-49</v>
      </c>
      <c r="G786" t="s">
        <v>162</v>
      </c>
      <c r="H786" t="s">
        <v>43</v>
      </c>
      <c r="I786" t="s">
        <v>26</v>
      </c>
      <c r="J786">
        <v>1</v>
      </c>
      <c r="K786" t="s">
        <v>44</v>
      </c>
      <c r="L786">
        <v>43</v>
      </c>
      <c r="M786" t="s">
        <v>156</v>
      </c>
      <c r="N786">
        <v>25000</v>
      </c>
      <c r="O786">
        <v>17</v>
      </c>
      <c r="P786">
        <v>425000</v>
      </c>
      <c r="Q786">
        <v>32.53</v>
      </c>
      <c r="R786" t="s">
        <v>29</v>
      </c>
      <c r="S786" t="s">
        <v>38</v>
      </c>
      <c r="T786">
        <f t="shared" si="48"/>
        <v>425000</v>
      </c>
      <c r="U786" t="str">
        <f t="shared" si="49"/>
        <v>24+ Months</v>
      </c>
    </row>
    <row r="787" spans="1:21" hidden="1">
      <c r="A787" t="s">
        <v>1182</v>
      </c>
      <c r="B787" t="s">
        <v>80</v>
      </c>
      <c r="C787" s="2" t="s">
        <v>1181</v>
      </c>
      <c r="D787" s="2" t="str">
        <f t="shared" si="50"/>
        <v>Ifeanyi Adkins</v>
      </c>
      <c r="E787">
        <v>42</v>
      </c>
      <c r="F787" s="3" t="str">
        <f t="shared" si="51"/>
        <v>40-49</v>
      </c>
      <c r="G787" t="s">
        <v>162</v>
      </c>
      <c r="H787" t="s">
        <v>35</v>
      </c>
      <c r="I787" t="s">
        <v>26</v>
      </c>
      <c r="J787">
        <v>1</v>
      </c>
      <c r="K787" t="s">
        <v>44</v>
      </c>
      <c r="L787">
        <v>43</v>
      </c>
      <c r="M787" t="s">
        <v>93</v>
      </c>
      <c r="N787">
        <v>350</v>
      </c>
      <c r="O787">
        <v>3</v>
      </c>
      <c r="P787">
        <v>1050</v>
      </c>
      <c r="Q787">
        <v>101.23</v>
      </c>
      <c r="R787" t="s">
        <v>29</v>
      </c>
      <c r="S787" t="s">
        <v>38</v>
      </c>
      <c r="T787">
        <f t="shared" si="48"/>
        <v>1050</v>
      </c>
      <c r="U787" t="str">
        <f t="shared" si="49"/>
        <v>24+ Months</v>
      </c>
    </row>
    <row r="788" spans="1:21" hidden="1">
      <c r="A788" t="s">
        <v>1183</v>
      </c>
      <c r="B788" t="s">
        <v>80</v>
      </c>
      <c r="C788" s="2" t="s">
        <v>1181</v>
      </c>
      <c r="D788" s="2" t="str">
        <f t="shared" si="50"/>
        <v>Ifeanyi Adkins</v>
      </c>
      <c r="E788">
        <v>42</v>
      </c>
      <c r="F788" s="3" t="str">
        <f t="shared" si="51"/>
        <v>40-49</v>
      </c>
      <c r="G788" t="s">
        <v>162</v>
      </c>
      <c r="H788" t="s">
        <v>25</v>
      </c>
      <c r="I788" t="s">
        <v>26</v>
      </c>
      <c r="J788">
        <v>1</v>
      </c>
      <c r="K788" t="s">
        <v>44</v>
      </c>
      <c r="L788">
        <v>43</v>
      </c>
      <c r="M788" t="s">
        <v>73</v>
      </c>
      <c r="N788">
        <v>16000</v>
      </c>
      <c r="O788">
        <v>1</v>
      </c>
      <c r="P788">
        <v>16000</v>
      </c>
      <c r="Q788">
        <v>164.01</v>
      </c>
      <c r="R788" t="s">
        <v>29</v>
      </c>
      <c r="S788" t="s">
        <v>38</v>
      </c>
      <c r="T788">
        <f t="shared" si="48"/>
        <v>16000</v>
      </c>
      <c r="U788" t="str">
        <f t="shared" si="49"/>
        <v>24+ Months</v>
      </c>
    </row>
    <row r="789" spans="1:21" hidden="1">
      <c r="A789" t="s">
        <v>1184</v>
      </c>
      <c r="B789" t="s">
        <v>385</v>
      </c>
      <c r="C789" s="2" t="s">
        <v>1185</v>
      </c>
      <c r="D789" s="2" t="str">
        <f t="shared" si="50"/>
        <v>Sarah Oconnor</v>
      </c>
      <c r="E789">
        <v>43</v>
      </c>
      <c r="F789" s="3" t="str">
        <f t="shared" si="51"/>
        <v>40-49</v>
      </c>
      <c r="G789" t="s">
        <v>162</v>
      </c>
      <c r="H789" t="s">
        <v>35</v>
      </c>
      <c r="I789" t="s">
        <v>36</v>
      </c>
      <c r="J789">
        <v>1</v>
      </c>
      <c r="K789" t="s">
        <v>44</v>
      </c>
      <c r="L789">
        <v>11</v>
      </c>
      <c r="M789" t="s">
        <v>37</v>
      </c>
      <c r="N789">
        <v>5500</v>
      </c>
      <c r="O789">
        <v>4</v>
      </c>
      <c r="P789">
        <v>22000</v>
      </c>
      <c r="Q789">
        <v>134.87</v>
      </c>
      <c r="R789" t="s">
        <v>46</v>
      </c>
      <c r="S789" t="s">
        <v>229</v>
      </c>
      <c r="T789">
        <f t="shared" si="48"/>
        <v>0</v>
      </c>
      <c r="U789" t="str">
        <f t="shared" si="49"/>
        <v>7-12 Months</v>
      </c>
    </row>
    <row r="790" spans="1:21" hidden="1">
      <c r="A790" t="s">
        <v>1186</v>
      </c>
      <c r="B790" t="s">
        <v>385</v>
      </c>
      <c r="C790" s="2" t="s">
        <v>1185</v>
      </c>
      <c r="D790" s="2" t="str">
        <f t="shared" si="50"/>
        <v>Sarah Oconnor</v>
      </c>
      <c r="E790">
        <v>43</v>
      </c>
      <c r="F790" s="3" t="str">
        <f t="shared" si="51"/>
        <v>40-49</v>
      </c>
      <c r="G790" t="s">
        <v>162</v>
      </c>
      <c r="H790" t="s">
        <v>25</v>
      </c>
      <c r="I790" t="s">
        <v>36</v>
      </c>
      <c r="J790">
        <v>1</v>
      </c>
      <c r="K790" t="s">
        <v>44</v>
      </c>
      <c r="L790">
        <v>11</v>
      </c>
      <c r="M790" t="s">
        <v>57</v>
      </c>
      <c r="N790">
        <v>4500</v>
      </c>
      <c r="O790">
        <v>13</v>
      </c>
      <c r="P790">
        <v>58500</v>
      </c>
      <c r="Q790">
        <v>167.03</v>
      </c>
      <c r="R790" t="s">
        <v>46</v>
      </c>
      <c r="S790" t="s">
        <v>229</v>
      </c>
      <c r="T790">
        <f t="shared" si="48"/>
        <v>0</v>
      </c>
      <c r="U790" t="str">
        <f t="shared" si="49"/>
        <v>7-12 Months</v>
      </c>
    </row>
    <row r="791" spans="1:21" hidden="1">
      <c r="A791" t="s">
        <v>1187</v>
      </c>
      <c r="B791" t="s">
        <v>385</v>
      </c>
      <c r="C791" s="2" t="s">
        <v>1185</v>
      </c>
      <c r="D791" s="2" t="str">
        <f t="shared" si="50"/>
        <v>Sarah Oconnor</v>
      </c>
      <c r="E791">
        <v>43</v>
      </c>
      <c r="F791" s="3" t="str">
        <f t="shared" si="51"/>
        <v>40-49</v>
      </c>
      <c r="G791" t="s">
        <v>162</v>
      </c>
      <c r="H791" t="s">
        <v>51</v>
      </c>
      <c r="I791" t="s">
        <v>36</v>
      </c>
      <c r="J791">
        <v>1</v>
      </c>
      <c r="K791" t="s">
        <v>44</v>
      </c>
      <c r="L791">
        <v>11</v>
      </c>
      <c r="M791" t="s">
        <v>91</v>
      </c>
      <c r="N791">
        <v>14500</v>
      </c>
      <c r="O791">
        <v>8</v>
      </c>
      <c r="P791">
        <v>116000</v>
      </c>
      <c r="Q791">
        <v>43.25</v>
      </c>
      <c r="R791" t="s">
        <v>46</v>
      </c>
      <c r="S791" t="s">
        <v>229</v>
      </c>
      <c r="T791">
        <f t="shared" si="48"/>
        <v>0</v>
      </c>
      <c r="U791" t="str">
        <f t="shared" si="49"/>
        <v>7-12 Months</v>
      </c>
    </row>
    <row r="792" spans="1:21" hidden="1">
      <c r="A792" t="s">
        <v>1188</v>
      </c>
      <c r="B792" t="s">
        <v>316</v>
      </c>
      <c r="C792" s="2" t="s">
        <v>604</v>
      </c>
      <c r="D792" s="2" t="str">
        <f t="shared" si="50"/>
        <v>Ibim Soto</v>
      </c>
      <c r="E792">
        <v>30</v>
      </c>
      <c r="F792" s="3" t="str">
        <f t="shared" si="51"/>
        <v>30-39</v>
      </c>
      <c r="G792" t="s">
        <v>353</v>
      </c>
      <c r="H792" t="s">
        <v>43</v>
      </c>
      <c r="I792" t="s">
        <v>26</v>
      </c>
      <c r="J792">
        <v>5</v>
      </c>
      <c r="K792" t="s">
        <v>68</v>
      </c>
      <c r="L792">
        <v>30</v>
      </c>
      <c r="M792" t="s">
        <v>52</v>
      </c>
      <c r="N792">
        <v>9000</v>
      </c>
      <c r="O792">
        <v>16</v>
      </c>
      <c r="P792">
        <v>144000</v>
      </c>
      <c r="Q792">
        <v>16.91</v>
      </c>
      <c r="R792" t="s">
        <v>29</v>
      </c>
      <c r="S792" t="s">
        <v>38</v>
      </c>
      <c r="T792">
        <f t="shared" si="48"/>
        <v>144000</v>
      </c>
      <c r="U792" t="str">
        <f t="shared" si="49"/>
        <v>24+ Months</v>
      </c>
    </row>
    <row r="793" spans="1:21" hidden="1">
      <c r="A793" t="s">
        <v>1189</v>
      </c>
      <c r="B793" t="s">
        <v>316</v>
      </c>
      <c r="C793" s="2" t="s">
        <v>604</v>
      </c>
      <c r="D793" s="2" t="str">
        <f t="shared" si="50"/>
        <v>Ibim Soto</v>
      </c>
      <c r="E793">
        <v>30</v>
      </c>
      <c r="F793" s="3" t="str">
        <f t="shared" si="51"/>
        <v>30-39</v>
      </c>
      <c r="G793" t="s">
        <v>353</v>
      </c>
      <c r="H793" t="s">
        <v>35</v>
      </c>
      <c r="I793" t="s">
        <v>26</v>
      </c>
      <c r="J793">
        <v>5</v>
      </c>
      <c r="K793" t="s">
        <v>68</v>
      </c>
      <c r="L793">
        <v>30</v>
      </c>
      <c r="M793" t="s">
        <v>108</v>
      </c>
      <c r="N793">
        <v>1000</v>
      </c>
      <c r="O793">
        <v>15</v>
      </c>
      <c r="P793">
        <v>15000</v>
      </c>
      <c r="Q793">
        <v>77.260000000000005</v>
      </c>
      <c r="R793" t="s">
        <v>29</v>
      </c>
      <c r="S793" t="s">
        <v>38</v>
      </c>
      <c r="T793">
        <f t="shared" si="48"/>
        <v>15000</v>
      </c>
      <c r="U793" t="str">
        <f t="shared" si="49"/>
        <v>24+ Months</v>
      </c>
    </row>
    <row r="794" spans="1:21" hidden="1">
      <c r="A794" t="s">
        <v>1190</v>
      </c>
      <c r="B794" t="s">
        <v>169</v>
      </c>
      <c r="C794" s="2" t="s">
        <v>1191</v>
      </c>
      <c r="D794" s="2" t="str">
        <f t="shared" si="50"/>
        <v>Maryam Buck</v>
      </c>
      <c r="E794">
        <v>72</v>
      </c>
      <c r="F794" s="3" t="str">
        <f t="shared" si="51"/>
        <v>70-79</v>
      </c>
      <c r="G794" t="s">
        <v>154</v>
      </c>
      <c r="H794" t="s">
        <v>43</v>
      </c>
      <c r="I794" t="s">
        <v>36</v>
      </c>
      <c r="J794">
        <v>2</v>
      </c>
      <c r="K794" t="s">
        <v>27</v>
      </c>
      <c r="L794">
        <v>19</v>
      </c>
      <c r="M794" t="s">
        <v>52</v>
      </c>
      <c r="N794">
        <v>9000</v>
      </c>
      <c r="O794">
        <v>16</v>
      </c>
      <c r="P794">
        <v>144000</v>
      </c>
      <c r="Q794">
        <v>199.75</v>
      </c>
      <c r="R794" t="s">
        <v>46</v>
      </c>
      <c r="S794" t="s">
        <v>229</v>
      </c>
      <c r="T794">
        <f t="shared" si="48"/>
        <v>0</v>
      </c>
      <c r="U794" t="str">
        <f t="shared" si="49"/>
        <v>13-24 Months</v>
      </c>
    </row>
    <row r="795" spans="1:21" hidden="1">
      <c r="A795" t="s">
        <v>1192</v>
      </c>
      <c r="B795" t="s">
        <v>169</v>
      </c>
      <c r="C795" s="2" t="s">
        <v>1191</v>
      </c>
      <c r="D795" s="2" t="str">
        <f t="shared" si="50"/>
        <v>Maryam Buck</v>
      </c>
      <c r="E795">
        <v>72</v>
      </c>
      <c r="F795" s="3" t="str">
        <f t="shared" si="51"/>
        <v>70-79</v>
      </c>
      <c r="G795" t="s">
        <v>154</v>
      </c>
      <c r="H795" t="s">
        <v>51</v>
      </c>
      <c r="I795" t="s">
        <v>36</v>
      </c>
      <c r="J795">
        <v>2</v>
      </c>
      <c r="K795" t="s">
        <v>27</v>
      </c>
      <c r="L795">
        <v>19</v>
      </c>
      <c r="M795" t="s">
        <v>52</v>
      </c>
      <c r="N795">
        <v>9000</v>
      </c>
      <c r="O795">
        <v>17</v>
      </c>
      <c r="P795">
        <v>153000</v>
      </c>
      <c r="Q795">
        <v>79.58</v>
      </c>
      <c r="R795" t="s">
        <v>46</v>
      </c>
      <c r="S795" t="s">
        <v>229</v>
      </c>
      <c r="T795">
        <f t="shared" si="48"/>
        <v>0</v>
      </c>
      <c r="U795" t="str">
        <f t="shared" si="49"/>
        <v>13-24 Months</v>
      </c>
    </row>
    <row r="796" spans="1:21" hidden="1">
      <c r="A796" t="s">
        <v>1193</v>
      </c>
      <c r="B796" t="s">
        <v>219</v>
      </c>
      <c r="C796" s="2" t="s">
        <v>147</v>
      </c>
      <c r="D796" s="2" t="str">
        <f t="shared" si="50"/>
        <v>Chinedu Brown</v>
      </c>
      <c r="E796">
        <v>31</v>
      </c>
      <c r="F796" s="3" t="str">
        <f t="shared" si="51"/>
        <v>30-39</v>
      </c>
      <c r="G796" t="s">
        <v>67</v>
      </c>
      <c r="H796" t="s">
        <v>25</v>
      </c>
      <c r="I796" t="s">
        <v>36</v>
      </c>
      <c r="J796">
        <v>2</v>
      </c>
      <c r="K796" t="s">
        <v>27</v>
      </c>
      <c r="L796">
        <v>26</v>
      </c>
      <c r="M796" t="s">
        <v>28</v>
      </c>
      <c r="N796">
        <v>35000</v>
      </c>
      <c r="O796">
        <v>14</v>
      </c>
      <c r="P796">
        <v>490000</v>
      </c>
      <c r="Q796">
        <v>24.99</v>
      </c>
      <c r="R796" t="s">
        <v>29</v>
      </c>
      <c r="S796" t="s">
        <v>362</v>
      </c>
      <c r="T796">
        <f t="shared" si="48"/>
        <v>490000</v>
      </c>
      <c r="U796" t="str">
        <f t="shared" si="49"/>
        <v>24+ Months</v>
      </c>
    </row>
    <row r="797" spans="1:21" hidden="1">
      <c r="A797" t="s">
        <v>1194</v>
      </c>
      <c r="B797" t="s">
        <v>219</v>
      </c>
      <c r="C797" s="2" t="s">
        <v>147</v>
      </c>
      <c r="D797" s="2" t="str">
        <f t="shared" si="50"/>
        <v>Chinedu Brown</v>
      </c>
      <c r="E797">
        <v>31</v>
      </c>
      <c r="F797" s="3" t="str">
        <f t="shared" si="51"/>
        <v>30-39</v>
      </c>
      <c r="G797" t="s">
        <v>67</v>
      </c>
      <c r="H797" t="s">
        <v>43</v>
      </c>
      <c r="I797" t="s">
        <v>36</v>
      </c>
      <c r="J797">
        <v>2</v>
      </c>
      <c r="K797" t="s">
        <v>27</v>
      </c>
      <c r="L797">
        <v>26</v>
      </c>
      <c r="M797" t="s">
        <v>71</v>
      </c>
      <c r="N797">
        <v>150000</v>
      </c>
      <c r="O797">
        <v>19</v>
      </c>
      <c r="P797">
        <v>2850000</v>
      </c>
      <c r="Q797">
        <v>56.06</v>
      </c>
      <c r="R797" t="s">
        <v>29</v>
      </c>
      <c r="S797" t="s">
        <v>362</v>
      </c>
      <c r="T797">
        <f t="shared" si="48"/>
        <v>2850000</v>
      </c>
      <c r="U797" t="str">
        <f t="shared" si="49"/>
        <v>24+ Months</v>
      </c>
    </row>
    <row r="798" spans="1:21" hidden="1">
      <c r="A798" t="s">
        <v>1195</v>
      </c>
      <c r="B798" t="s">
        <v>32</v>
      </c>
      <c r="C798" s="2" t="s">
        <v>604</v>
      </c>
      <c r="D798" s="2" t="str">
        <f t="shared" si="50"/>
        <v>Zainab Soto</v>
      </c>
      <c r="E798">
        <v>67</v>
      </c>
      <c r="F798" s="3" t="str">
        <f t="shared" si="51"/>
        <v>60-69</v>
      </c>
      <c r="G798" t="s">
        <v>210</v>
      </c>
      <c r="H798" t="s">
        <v>35</v>
      </c>
      <c r="I798" t="s">
        <v>36</v>
      </c>
      <c r="J798">
        <v>4</v>
      </c>
      <c r="K798" t="s">
        <v>155</v>
      </c>
      <c r="L798">
        <v>43</v>
      </c>
      <c r="M798" t="s">
        <v>108</v>
      </c>
      <c r="N798">
        <v>1000</v>
      </c>
      <c r="O798">
        <v>16</v>
      </c>
      <c r="P798">
        <v>16000</v>
      </c>
      <c r="Q798">
        <v>24.88</v>
      </c>
      <c r="R798" t="s">
        <v>46</v>
      </c>
      <c r="S798" t="s">
        <v>229</v>
      </c>
      <c r="T798">
        <f t="shared" si="48"/>
        <v>0</v>
      </c>
      <c r="U798" t="str">
        <f t="shared" si="49"/>
        <v>24+ Months</v>
      </c>
    </row>
    <row r="799" spans="1:21" hidden="1">
      <c r="A799" t="s">
        <v>1196</v>
      </c>
      <c r="B799" t="s">
        <v>232</v>
      </c>
      <c r="C799" s="2" t="s">
        <v>234</v>
      </c>
      <c r="D799" s="2" t="str">
        <f t="shared" si="50"/>
        <v>Grace Thompson</v>
      </c>
      <c r="E799">
        <v>45</v>
      </c>
      <c r="F799" s="3" t="str">
        <f t="shared" si="51"/>
        <v>40-49</v>
      </c>
      <c r="G799" t="s">
        <v>194</v>
      </c>
      <c r="H799" t="s">
        <v>25</v>
      </c>
      <c r="I799" t="s">
        <v>26</v>
      </c>
      <c r="J799">
        <v>1</v>
      </c>
      <c r="K799" t="s">
        <v>44</v>
      </c>
      <c r="L799">
        <v>7</v>
      </c>
      <c r="M799" t="s">
        <v>28</v>
      </c>
      <c r="N799">
        <v>35000</v>
      </c>
      <c r="O799">
        <v>11</v>
      </c>
      <c r="P799">
        <v>385000</v>
      </c>
      <c r="Q799">
        <v>121.11</v>
      </c>
      <c r="R799" t="s">
        <v>46</v>
      </c>
      <c r="S799" t="s">
        <v>229</v>
      </c>
      <c r="T799">
        <f t="shared" si="48"/>
        <v>0</v>
      </c>
      <c r="U799" t="str">
        <f t="shared" si="49"/>
        <v>7-12 Months</v>
      </c>
    </row>
    <row r="800" spans="1:21" hidden="1">
      <c r="A800" t="s">
        <v>1197</v>
      </c>
      <c r="B800" t="s">
        <v>134</v>
      </c>
      <c r="C800" s="2" t="s">
        <v>271</v>
      </c>
      <c r="D800" s="2" t="str">
        <f t="shared" si="50"/>
        <v>Obinna Daniels</v>
      </c>
      <c r="E800">
        <v>54</v>
      </c>
      <c r="F800" s="3" t="str">
        <f t="shared" si="51"/>
        <v>50-59</v>
      </c>
      <c r="G800" t="s">
        <v>128</v>
      </c>
      <c r="H800" t="s">
        <v>35</v>
      </c>
      <c r="I800" t="s">
        <v>26</v>
      </c>
      <c r="J800">
        <v>4</v>
      </c>
      <c r="K800" t="s">
        <v>155</v>
      </c>
      <c r="L800">
        <v>43</v>
      </c>
      <c r="M800" t="s">
        <v>49</v>
      </c>
      <c r="N800">
        <v>500</v>
      </c>
      <c r="O800">
        <v>18</v>
      </c>
      <c r="P800">
        <v>9000</v>
      </c>
      <c r="Q800">
        <v>108.72</v>
      </c>
      <c r="R800" t="s">
        <v>29</v>
      </c>
      <c r="S800" t="s">
        <v>393</v>
      </c>
      <c r="T800">
        <f t="shared" si="48"/>
        <v>9000</v>
      </c>
      <c r="U800" t="str">
        <f t="shared" si="49"/>
        <v>24+ Months</v>
      </c>
    </row>
    <row r="801" spans="1:21" hidden="1">
      <c r="A801" t="s">
        <v>1198</v>
      </c>
      <c r="B801" t="s">
        <v>134</v>
      </c>
      <c r="C801" s="2" t="s">
        <v>271</v>
      </c>
      <c r="D801" s="2" t="str">
        <f t="shared" si="50"/>
        <v>Obinna Daniels</v>
      </c>
      <c r="E801">
        <v>54</v>
      </c>
      <c r="F801" s="3" t="str">
        <f t="shared" si="51"/>
        <v>50-59</v>
      </c>
      <c r="G801" t="s">
        <v>128</v>
      </c>
      <c r="H801" t="s">
        <v>43</v>
      </c>
      <c r="I801" t="s">
        <v>26</v>
      </c>
      <c r="J801">
        <v>4</v>
      </c>
      <c r="K801" t="s">
        <v>155</v>
      </c>
      <c r="L801">
        <v>43</v>
      </c>
      <c r="M801" t="s">
        <v>52</v>
      </c>
      <c r="N801">
        <v>9000</v>
      </c>
      <c r="O801">
        <v>2</v>
      </c>
      <c r="P801">
        <v>18000</v>
      </c>
      <c r="Q801">
        <v>190.54</v>
      </c>
      <c r="R801" t="s">
        <v>29</v>
      </c>
      <c r="S801" t="s">
        <v>393</v>
      </c>
      <c r="T801">
        <f t="shared" si="48"/>
        <v>18000</v>
      </c>
      <c r="U801" t="str">
        <f t="shared" si="49"/>
        <v>24+ Months</v>
      </c>
    </row>
    <row r="802" spans="1:21" hidden="1">
      <c r="A802" t="s">
        <v>1199</v>
      </c>
      <c r="B802" t="s">
        <v>75</v>
      </c>
      <c r="C802" s="2" t="s">
        <v>408</v>
      </c>
      <c r="D802" s="2" t="str">
        <f t="shared" si="50"/>
        <v>Boma Burns</v>
      </c>
      <c r="E802">
        <v>31</v>
      </c>
      <c r="F802" s="3" t="str">
        <f t="shared" si="51"/>
        <v>30-39</v>
      </c>
      <c r="G802" t="s">
        <v>77</v>
      </c>
      <c r="H802" t="s">
        <v>25</v>
      </c>
      <c r="I802" t="s">
        <v>36</v>
      </c>
      <c r="J802">
        <v>4</v>
      </c>
      <c r="K802" t="s">
        <v>155</v>
      </c>
      <c r="L802">
        <v>21</v>
      </c>
      <c r="M802" t="s">
        <v>63</v>
      </c>
      <c r="N802">
        <v>9000</v>
      </c>
      <c r="O802">
        <v>6</v>
      </c>
      <c r="P802">
        <v>54000</v>
      </c>
      <c r="Q802">
        <v>177</v>
      </c>
      <c r="R802" t="s">
        <v>46</v>
      </c>
      <c r="S802" t="s">
        <v>229</v>
      </c>
      <c r="T802">
        <f t="shared" si="48"/>
        <v>0</v>
      </c>
      <c r="U802" t="str">
        <f t="shared" si="49"/>
        <v>13-24 Months</v>
      </c>
    </row>
    <row r="803" spans="1:21" hidden="1">
      <c r="A803" t="s">
        <v>1200</v>
      </c>
      <c r="B803" t="s">
        <v>232</v>
      </c>
      <c r="C803" s="2" t="s">
        <v>1201</v>
      </c>
      <c r="D803" s="2" t="str">
        <f t="shared" si="50"/>
        <v>Grace Snyder</v>
      </c>
      <c r="E803">
        <v>71</v>
      </c>
      <c r="F803" s="3" t="str">
        <f t="shared" si="51"/>
        <v>70-79</v>
      </c>
      <c r="G803" t="s">
        <v>194</v>
      </c>
      <c r="H803" t="s">
        <v>35</v>
      </c>
      <c r="I803" t="s">
        <v>36</v>
      </c>
      <c r="J803">
        <v>4</v>
      </c>
      <c r="K803" t="s">
        <v>155</v>
      </c>
      <c r="L803">
        <v>46</v>
      </c>
      <c r="M803" t="s">
        <v>37</v>
      </c>
      <c r="N803">
        <v>5500</v>
      </c>
      <c r="O803">
        <v>6</v>
      </c>
      <c r="P803">
        <v>33000</v>
      </c>
      <c r="Q803">
        <v>112.67</v>
      </c>
      <c r="R803" t="s">
        <v>46</v>
      </c>
      <c r="S803" t="s">
        <v>229</v>
      </c>
      <c r="T803">
        <f t="shared" si="48"/>
        <v>0</v>
      </c>
      <c r="U803" t="str">
        <f t="shared" si="49"/>
        <v>24+ Months</v>
      </c>
    </row>
    <row r="804" spans="1:21" hidden="1">
      <c r="A804" t="s">
        <v>1202</v>
      </c>
      <c r="B804" t="s">
        <v>232</v>
      </c>
      <c r="C804" s="2" t="s">
        <v>1201</v>
      </c>
      <c r="D804" s="2" t="str">
        <f t="shared" si="50"/>
        <v>Grace Snyder</v>
      </c>
      <c r="E804">
        <v>71</v>
      </c>
      <c r="F804" s="3" t="str">
        <f t="shared" si="51"/>
        <v>70-79</v>
      </c>
      <c r="G804" t="s">
        <v>194</v>
      </c>
      <c r="H804" t="s">
        <v>43</v>
      </c>
      <c r="I804" t="s">
        <v>36</v>
      </c>
      <c r="J804">
        <v>4</v>
      </c>
      <c r="K804" t="s">
        <v>155</v>
      </c>
      <c r="L804">
        <v>46</v>
      </c>
      <c r="M804" t="s">
        <v>52</v>
      </c>
      <c r="N804">
        <v>9000</v>
      </c>
      <c r="O804">
        <v>16</v>
      </c>
      <c r="P804">
        <v>144000</v>
      </c>
      <c r="Q804">
        <v>78.58</v>
      </c>
      <c r="R804" t="s">
        <v>46</v>
      </c>
      <c r="S804" t="s">
        <v>229</v>
      </c>
      <c r="T804">
        <f t="shared" si="48"/>
        <v>0</v>
      </c>
      <c r="U804" t="str">
        <f t="shared" si="49"/>
        <v>24+ Months</v>
      </c>
    </row>
    <row r="805" spans="1:21" hidden="1">
      <c r="A805" t="s">
        <v>1203</v>
      </c>
      <c r="B805" t="s">
        <v>232</v>
      </c>
      <c r="C805" s="2" t="s">
        <v>1201</v>
      </c>
      <c r="D805" s="2" t="str">
        <f t="shared" si="50"/>
        <v>Grace Snyder</v>
      </c>
      <c r="E805">
        <v>71</v>
      </c>
      <c r="F805" s="3" t="str">
        <f t="shared" si="51"/>
        <v>70-79</v>
      </c>
      <c r="G805" t="s">
        <v>194</v>
      </c>
      <c r="H805" t="s">
        <v>25</v>
      </c>
      <c r="I805" t="s">
        <v>36</v>
      </c>
      <c r="J805">
        <v>4</v>
      </c>
      <c r="K805" t="s">
        <v>155</v>
      </c>
      <c r="L805">
        <v>46</v>
      </c>
      <c r="M805" t="s">
        <v>28</v>
      </c>
      <c r="N805">
        <v>35000</v>
      </c>
      <c r="O805">
        <v>12</v>
      </c>
      <c r="P805">
        <v>420000</v>
      </c>
      <c r="Q805">
        <v>123.58</v>
      </c>
      <c r="R805" t="s">
        <v>46</v>
      </c>
      <c r="S805" t="s">
        <v>229</v>
      </c>
      <c r="T805">
        <f t="shared" si="48"/>
        <v>0</v>
      </c>
      <c r="U805" t="str">
        <f t="shared" si="49"/>
        <v>24+ Months</v>
      </c>
    </row>
    <row r="806" spans="1:21" hidden="1">
      <c r="A806" t="s">
        <v>1204</v>
      </c>
      <c r="B806" t="s">
        <v>115</v>
      </c>
      <c r="C806" s="2" t="s">
        <v>1205</v>
      </c>
      <c r="D806" s="2" t="str">
        <f t="shared" si="50"/>
        <v>Abubakar Lane</v>
      </c>
      <c r="E806">
        <v>57</v>
      </c>
      <c r="F806" s="3" t="str">
        <f t="shared" si="51"/>
        <v>50-59</v>
      </c>
      <c r="G806" t="s">
        <v>61</v>
      </c>
      <c r="H806" t="s">
        <v>51</v>
      </c>
      <c r="I806" t="s">
        <v>26</v>
      </c>
      <c r="J806">
        <v>2</v>
      </c>
      <c r="K806" t="s">
        <v>27</v>
      </c>
      <c r="L806">
        <v>38</v>
      </c>
      <c r="M806" t="s">
        <v>82</v>
      </c>
      <c r="N806">
        <v>30000</v>
      </c>
      <c r="O806">
        <v>14</v>
      </c>
      <c r="P806">
        <v>420000</v>
      </c>
      <c r="Q806">
        <v>76.42</v>
      </c>
      <c r="R806" t="s">
        <v>46</v>
      </c>
      <c r="S806" t="s">
        <v>229</v>
      </c>
      <c r="T806">
        <f t="shared" si="48"/>
        <v>0</v>
      </c>
      <c r="U806" t="str">
        <f t="shared" si="49"/>
        <v>24+ Months</v>
      </c>
    </row>
    <row r="807" spans="1:21" hidden="1">
      <c r="A807" t="s">
        <v>1206</v>
      </c>
      <c r="B807" t="s">
        <v>115</v>
      </c>
      <c r="C807" s="2" t="s">
        <v>1205</v>
      </c>
      <c r="D807" s="2" t="str">
        <f t="shared" si="50"/>
        <v>Abubakar Lane</v>
      </c>
      <c r="E807">
        <v>57</v>
      </c>
      <c r="F807" s="3" t="str">
        <f t="shared" si="51"/>
        <v>50-59</v>
      </c>
      <c r="G807" t="s">
        <v>61</v>
      </c>
      <c r="H807" t="s">
        <v>43</v>
      </c>
      <c r="I807" t="s">
        <v>26</v>
      </c>
      <c r="J807">
        <v>2</v>
      </c>
      <c r="K807" t="s">
        <v>27</v>
      </c>
      <c r="L807">
        <v>38</v>
      </c>
      <c r="M807" t="s">
        <v>156</v>
      </c>
      <c r="N807">
        <v>25000</v>
      </c>
      <c r="O807">
        <v>14</v>
      </c>
      <c r="P807">
        <v>350000</v>
      </c>
      <c r="Q807">
        <v>198.39</v>
      </c>
      <c r="R807" t="s">
        <v>46</v>
      </c>
      <c r="S807" t="s">
        <v>229</v>
      </c>
      <c r="T807">
        <f t="shared" si="48"/>
        <v>0</v>
      </c>
      <c r="U807" t="str">
        <f t="shared" si="49"/>
        <v>24+ Months</v>
      </c>
    </row>
    <row r="808" spans="1:21" hidden="1">
      <c r="A808" t="s">
        <v>1207</v>
      </c>
      <c r="B808" t="s">
        <v>146</v>
      </c>
      <c r="C808" s="2" t="s">
        <v>1208</v>
      </c>
      <c r="D808" s="2" t="str">
        <f t="shared" si="50"/>
        <v>Oghene Bartlett</v>
      </c>
      <c r="E808">
        <v>23</v>
      </c>
      <c r="F808" s="3" t="str">
        <f t="shared" si="51"/>
        <v>20-29</v>
      </c>
      <c r="G808" t="s">
        <v>89</v>
      </c>
      <c r="H808" t="s">
        <v>43</v>
      </c>
      <c r="I808" t="s">
        <v>26</v>
      </c>
      <c r="J808">
        <v>5</v>
      </c>
      <c r="K808" t="s">
        <v>68</v>
      </c>
      <c r="L808">
        <v>16</v>
      </c>
      <c r="M808" t="s">
        <v>45</v>
      </c>
      <c r="N808">
        <v>20000</v>
      </c>
      <c r="O808">
        <v>1</v>
      </c>
      <c r="P808">
        <v>20000</v>
      </c>
      <c r="Q808">
        <v>67.849999999999994</v>
      </c>
      <c r="R808" t="s">
        <v>29</v>
      </c>
      <c r="S808" t="s">
        <v>393</v>
      </c>
      <c r="T808">
        <f t="shared" si="48"/>
        <v>20000</v>
      </c>
      <c r="U808" t="str">
        <f t="shared" si="49"/>
        <v>13-24 Months</v>
      </c>
    </row>
    <row r="809" spans="1:21" hidden="1">
      <c r="A809" t="s">
        <v>1209</v>
      </c>
      <c r="B809" t="s">
        <v>131</v>
      </c>
      <c r="C809" s="2" t="s">
        <v>1210</v>
      </c>
      <c r="D809" s="2" t="str">
        <f t="shared" si="50"/>
        <v>David Giles</v>
      </c>
      <c r="E809">
        <v>57</v>
      </c>
      <c r="F809" s="3" t="str">
        <f t="shared" si="51"/>
        <v>50-59</v>
      </c>
      <c r="G809" t="s">
        <v>175</v>
      </c>
      <c r="H809" t="s">
        <v>43</v>
      </c>
      <c r="I809" t="s">
        <v>36</v>
      </c>
      <c r="J809">
        <v>5</v>
      </c>
      <c r="K809" t="s">
        <v>68</v>
      </c>
      <c r="L809">
        <v>43</v>
      </c>
      <c r="M809" t="s">
        <v>71</v>
      </c>
      <c r="N809">
        <v>150000</v>
      </c>
      <c r="O809">
        <v>11</v>
      </c>
      <c r="P809">
        <v>1650000</v>
      </c>
      <c r="Q809">
        <v>117.8</v>
      </c>
      <c r="R809" t="s">
        <v>46</v>
      </c>
      <c r="S809" t="s">
        <v>229</v>
      </c>
      <c r="T809">
        <f t="shared" si="48"/>
        <v>0</v>
      </c>
      <c r="U809" t="str">
        <f t="shared" si="49"/>
        <v>24+ Months</v>
      </c>
    </row>
    <row r="810" spans="1:21" hidden="1">
      <c r="A810" t="s">
        <v>1211</v>
      </c>
      <c r="B810" t="s">
        <v>131</v>
      </c>
      <c r="C810" s="2" t="s">
        <v>1210</v>
      </c>
      <c r="D810" s="2" t="str">
        <f t="shared" si="50"/>
        <v>David Giles</v>
      </c>
      <c r="E810">
        <v>57</v>
      </c>
      <c r="F810" s="3" t="str">
        <f t="shared" si="51"/>
        <v>50-59</v>
      </c>
      <c r="G810" t="s">
        <v>175</v>
      </c>
      <c r="H810" t="s">
        <v>51</v>
      </c>
      <c r="I810" t="s">
        <v>36</v>
      </c>
      <c r="J810">
        <v>5</v>
      </c>
      <c r="K810" t="s">
        <v>68</v>
      </c>
      <c r="L810">
        <v>43</v>
      </c>
      <c r="M810" t="s">
        <v>91</v>
      </c>
      <c r="N810">
        <v>14500</v>
      </c>
      <c r="O810">
        <v>11</v>
      </c>
      <c r="P810">
        <v>159500</v>
      </c>
      <c r="Q810">
        <v>114.29</v>
      </c>
      <c r="R810" t="s">
        <v>46</v>
      </c>
      <c r="S810" t="s">
        <v>229</v>
      </c>
      <c r="T810">
        <f t="shared" si="48"/>
        <v>0</v>
      </c>
      <c r="U810" t="str">
        <f t="shared" si="49"/>
        <v>24+ Months</v>
      </c>
    </row>
    <row r="811" spans="1:21" hidden="1">
      <c r="A811" t="s">
        <v>1212</v>
      </c>
      <c r="B811" t="s">
        <v>22</v>
      </c>
      <c r="C811" s="2" t="s">
        <v>277</v>
      </c>
      <c r="D811" s="2" t="str">
        <f t="shared" si="50"/>
        <v>Ngozi Williams</v>
      </c>
      <c r="E811">
        <v>78</v>
      </c>
      <c r="F811" s="3" t="str">
        <f t="shared" si="51"/>
        <v>70-79</v>
      </c>
      <c r="G811" t="s">
        <v>128</v>
      </c>
      <c r="H811" t="s">
        <v>43</v>
      </c>
      <c r="I811" t="s">
        <v>26</v>
      </c>
      <c r="J811">
        <v>5</v>
      </c>
      <c r="K811" t="s">
        <v>68</v>
      </c>
      <c r="L811">
        <v>22</v>
      </c>
      <c r="M811" t="s">
        <v>156</v>
      </c>
      <c r="N811">
        <v>25000</v>
      </c>
      <c r="O811">
        <v>7</v>
      </c>
      <c r="P811">
        <v>175000</v>
      </c>
      <c r="Q811">
        <v>193.9</v>
      </c>
      <c r="R811" t="s">
        <v>46</v>
      </c>
      <c r="S811" t="s">
        <v>229</v>
      </c>
      <c r="T811">
        <f t="shared" si="48"/>
        <v>0</v>
      </c>
      <c r="U811" t="str">
        <f t="shared" si="49"/>
        <v>13-24 Months</v>
      </c>
    </row>
    <row r="812" spans="1:21" hidden="1">
      <c r="A812" t="s">
        <v>1213</v>
      </c>
      <c r="B812" t="s">
        <v>22</v>
      </c>
      <c r="C812" s="2" t="s">
        <v>277</v>
      </c>
      <c r="D812" s="2" t="str">
        <f t="shared" si="50"/>
        <v>Ngozi Williams</v>
      </c>
      <c r="E812">
        <v>78</v>
      </c>
      <c r="F812" s="3" t="str">
        <f t="shared" si="51"/>
        <v>70-79</v>
      </c>
      <c r="G812" t="s">
        <v>128</v>
      </c>
      <c r="H812" t="s">
        <v>51</v>
      </c>
      <c r="I812" t="s">
        <v>26</v>
      </c>
      <c r="J812">
        <v>5</v>
      </c>
      <c r="K812" t="s">
        <v>68</v>
      </c>
      <c r="L812">
        <v>22</v>
      </c>
      <c r="M812" t="s">
        <v>91</v>
      </c>
      <c r="N812">
        <v>14500</v>
      </c>
      <c r="O812">
        <v>3</v>
      </c>
      <c r="P812">
        <v>43500</v>
      </c>
      <c r="Q812">
        <v>127.27</v>
      </c>
      <c r="R812" t="s">
        <v>46</v>
      </c>
      <c r="S812" t="s">
        <v>229</v>
      </c>
      <c r="T812">
        <f t="shared" si="48"/>
        <v>0</v>
      </c>
      <c r="U812" t="str">
        <f t="shared" si="49"/>
        <v>13-24 Months</v>
      </c>
    </row>
    <row r="813" spans="1:21" hidden="1">
      <c r="A813" t="s">
        <v>1214</v>
      </c>
      <c r="B813" t="s">
        <v>22</v>
      </c>
      <c r="C813" s="2" t="s">
        <v>277</v>
      </c>
      <c r="D813" s="2" t="str">
        <f t="shared" si="50"/>
        <v>Ngozi Williams</v>
      </c>
      <c r="E813">
        <v>78</v>
      </c>
      <c r="F813" s="3" t="str">
        <f t="shared" si="51"/>
        <v>70-79</v>
      </c>
      <c r="G813" t="s">
        <v>128</v>
      </c>
      <c r="H813" t="s">
        <v>25</v>
      </c>
      <c r="I813" t="s">
        <v>26</v>
      </c>
      <c r="J813">
        <v>5</v>
      </c>
      <c r="K813" t="s">
        <v>68</v>
      </c>
      <c r="L813">
        <v>22</v>
      </c>
      <c r="M813" t="s">
        <v>57</v>
      </c>
      <c r="N813">
        <v>4500</v>
      </c>
      <c r="O813">
        <v>2</v>
      </c>
      <c r="P813">
        <v>9000</v>
      </c>
      <c r="Q813">
        <v>57.83</v>
      </c>
      <c r="R813" t="s">
        <v>46</v>
      </c>
      <c r="S813" t="s">
        <v>229</v>
      </c>
      <c r="T813">
        <f t="shared" si="48"/>
        <v>0</v>
      </c>
      <c r="U813" t="str">
        <f t="shared" si="49"/>
        <v>13-24 Months</v>
      </c>
    </row>
    <row r="814" spans="1:21" hidden="1">
      <c r="A814" t="s">
        <v>1215</v>
      </c>
      <c r="B814" t="s">
        <v>169</v>
      </c>
      <c r="C814" s="2" t="s">
        <v>1216</v>
      </c>
      <c r="D814" s="2" t="str">
        <f t="shared" si="50"/>
        <v>Maryam Anthony</v>
      </c>
      <c r="E814">
        <v>67</v>
      </c>
      <c r="F814" s="3" t="str">
        <f t="shared" si="51"/>
        <v>60-69</v>
      </c>
      <c r="G814" t="s">
        <v>154</v>
      </c>
      <c r="H814" t="s">
        <v>35</v>
      </c>
      <c r="I814" t="s">
        <v>26</v>
      </c>
      <c r="J814">
        <v>5</v>
      </c>
      <c r="K814" t="s">
        <v>68</v>
      </c>
      <c r="L814">
        <v>46</v>
      </c>
      <c r="M814" t="s">
        <v>113</v>
      </c>
      <c r="N814">
        <v>7500</v>
      </c>
      <c r="O814">
        <v>3</v>
      </c>
      <c r="P814">
        <v>22500</v>
      </c>
      <c r="Q814">
        <v>42.34</v>
      </c>
      <c r="R814" t="s">
        <v>46</v>
      </c>
      <c r="S814" t="s">
        <v>229</v>
      </c>
      <c r="T814">
        <f t="shared" si="48"/>
        <v>0</v>
      </c>
      <c r="U814" t="str">
        <f t="shared" si="49"/>
        <v>24+ Months</v>
      </c>
    </row>
    <row r="815" spans="1:21" hidden="1">
      <c r="A815" t="s">
        <v>1217</v>
      </c>
      <c r="B815" t="s">
        <v>169</v>
      </c>
      <c r="C815" s="2" t="s">
        <v>1218</v>
      </c>
      <c r="D815" s="2" t="str">
        <f t="shared" si="50"/>
        <v>Maryam Blankenship</v>
      </c>
      <c r="E815">
        <v>80</v>
      </c>
      <c r="F815" s="3" t="str">
        <f t="shared" si="51"/>
        <v>80-89</v>
      </c>
      <c r="G815" t="s">
        <v>206</v>
      </c>
      <c r="H815" t="s">
        <v>35</v>
      </c>
      <c r="I815" t="s">
        <v>36</v>
      </c>
      <c r="J815">
        <v>2</v>
      </c>
      <c r="K815" t="s">
        <v>27</v>
      </c>
      <c r="L815">
        <v>43</v>
      </c>
      <c r="M815" t="s">
        <v>264</v>
      </c>
      <c r="N815">
        <v>6500</v>
      </c>
      <c r="O815">
        <v>1</v>
      </c>
      <c r="P815">
        <v>6500</v>
      </c>
      <c r="Q815">
        <v>36.53</v>
      </c>
      <c r="R815" t="s">
        <v>46</v>
      </c>
      <c r="S815" t="s">
        <v>229</v>
      </c>
      <c r="T815">
        <f t="shared" si="48"/>
        <v>0</v>
      </c>
      <c r="U815" t="str">
        <f t="shared" si="49"/>
        <v>24+ Months</v>
      </c>
    </row>
    <row r="816" spans="1:21" hidden="1">
      <c r="A816" t="s">
        <v>1219</v>
      </c>
      <c r="B816" t="s">
        <v>169</v>
      </c>
      <c r="C816" s="2" t="s">
        <v>1218</v>
      </c>
      <c r="D816" s="2" t="str">
        <f t="shared" si="50"/>
        <v>Maryam Blankenship</v>
      </c>
      <c r="E816">
        <v>80</v>
      </c>
      <c r="F816" s="3" t="str">
        <f t="shared" si="51"/>
        <v>80-89</v>
      </c>
      <c r="G816" t="s">
        <v>206</v>
      </c>
      <c r="H816" t="s">
        <v>43</v>
      </c>
      <c r="I816" t="s">
        <v>36</v>
      </c>
      <c r="J816">
        <v>2</v>
      </c>
      <c r="K816" t="s">
        <v>27</v>
      </c>
      <c r="L816">
        <v>43</v>
      </c>
      <c r="M816" t="s">
        <v>82</v>
      </c>
      <c r="N816">
        <v>30000</v>
      </c>
      <c r="O816">
        <v>7</v>
      </c>
      <c r="P816">
        <v>210000</v>
      </c>
      <c r="Q816">
        <v>115.58</v>
      </c>
      <c r="R816" t="s">
        <v>46</v>
      </c>
      <c r="S816" t="s">
        <v>229</v>
      </c>
      <c r="T816">
        <f t="shared" si="48"/>
        <v>0</v>
      </c>
      <c r="U816" t="str">
        <f t="shared" si="49"/>
        <v>24+ Months</v>
      </c>
    </row>
    <row r="817" spans="1:21" hidden="1">
      <c r="A817" t="s">
        <v>1220</v>
      </c>
      <c r="B817" t="s">
        <v>214</v>
      </c>
      <c r="C817" s="2" t="s">
        <v>312</v>
      </c>
      <c r="D817" s="2" t="str">
        <f t="shared" si="50"/>
        <v>Zina Hernandez</v>
      </c>
      <c r="E817">
        <v>50</v>
      </c>
      <c r="F817" s="3" t="str">
        <f t="shared" si="51"/>
        <v>50-59</v>
      </c>
      <c r="G817" t="s">
        <v>111</v>
      </c>
      <c r="H817" t="s">
        <v>25</v>
      </c>
      <c r="I817" t="s">
        <v>36</v>
      </c>
      <c r="J817">
        <v>5</v>
      </c>
      <c r="K817" t="s">
        <v>68</v>
      </c>
      <c r="L817">
        <v>60</v>
      </c>
      <c r="M817" t="s">
        <v>57</v>
      </c>
      <c r="N817">
        <v>4500</v>
      </c>
      <c r="O817">
        <v>10</v>
      </c>
      <c r="P817">
        <v>45000</v>
      </c>
      <c r="Q817">
        <v>149.41</v>
      </c>
      <c r="R817" t="s">
        <v>29</v>
      </c>
      <c r="S817" t="s">
        <v>229</v>
      </c>
      <c r="T817">
        <f t="shared" si="48"/>
        <v>45000</v>
      </c>
      <c r="U817" t="str">
        <f t="shared" si="49"/>
        <v>24+ Months</v>
      </c>
    </row>
    <row r="818" spans="1:21" hidden="1">
      <c r="A818" t="s">
        <v>1221</v>
      </c>
      <c r="B818" t="s">
        <v>75</v>
      </c>
      <c r="C818" s="2" t="s">
        <v>158</v>
      </c>
      <c r="D818" s="2" t="str">
        <f t="shared" si="50"/>
        <v>Boma Johnson</v>
      </c>
      <c r="E818">
        <v>68</v>
      </c>
      <c r="F818" s="3" t="str">
        <f t="shared" si="51"/>
        <v>60-69</v>
      </c>
      <c r="G818" t="s">
        <v>353</v>
      </c>
      <c r="H818" t="s">
        <v>25</v>
      </c>
      <c r="I818" t="s">
        <v>26</v>
      </c>
      <c r="J818">
        <v>4</v>
      </c>
      <c r="K818" t="s">
        <v>155</v>
      </c>
      <c r="L818">
        <v>41</v>
      </c>
      <c r="M818" t="s">
        <v>28</v>
      </c>
      <c r="N818">
        <v>35000</v>
      </c>
      <c r="O818">
        <v>5</v>
      </c>
      <c r="P818">
        <v>175000</v>
      </c>
      <c r="Q818">
        <v>48.08</v>
      </c>
      <c r="R818" t="s">
        <v>29</v>
      </c>
      <c r="S818" t="s">
        <v>129</v>
      </c>
      <c r="T818">
        <f t="shared" si="48"/>
        <v>175000</v>
      </c>
      <c r="U818" t="str">
        <f t="shared" si="49"/>
        <v>24+ Months</v>
      </c>
    </row>
    <row r="819" spans="1:21" hidden="1">
      <c r="A819" t="s">
        <v>1222</v>
      </c>
      <c r="B819" t="s">
        <v>75</v>
      </c>
      <c r="C819" s="2" t="s">
        <v>158</v>
      </c>
      <c r="D819" s="2" t="str">
        <f t="shared" si="50"/>
        <v>Boma Johnson</v>
      </c>
      <c r="E819">
        <v>68</v>
      </c>
      <c r="F819" s="3" t="str">
        <f t="shared" si="51"/>
        <v>60-69</v>
      </c>
      <c r="G819" t="s">
        <v>353</v>
      </c>
      <c r="H819" t="s">
        <v>35</v>
      </c>
      <c r="I819" t="s">
        <v>26</v>
      </c>
      <c r="J819">
        <v>4</v>
      </c>
      <c r="K819" t="s">
        <v>155</v>
      </c>
      <c r="L819">
        <v>41</v>
      </c>
      <c r="M819" t="s">
        <v>93</v>
      </c>
      <c r="N819">
        <v>350</v>
      </c>
      <c r="O819">
        <v>10</v>
      </c>
      <c r="P819">
        <v>3500</v>
      </c>
      <c r="Q819">
        <v>6.03</v>
      </c>
      <c r="R819" t="s">
        <v>29</v>
      </c>
      <c r="S819" t="s">
        <v>129</v>
      </c>
      <c r="T819">
        <f t="shared" si="48"/>
        <v>3500</v>
      </c>
      <c r="U819" t="str">
        <f t="shared" si="49"/>
        <v>24+ Months</v>
      </c>
    </row>
    <row r="820" spans="1:21" hidden="1">
      <c r="A820" t="s">
        <v>1223</v>
      </c>
      <c r="B820" t="s">
        <v>75</v>
      </c>
      <c r="C820" s="2" t="s">
        <v>158</v>
      </c>
      <c r="D820" s="2" t="str">
        <f t="shared" si="50"/>
        <v>Boma Johnson</v>
      </c>
      <c r="E820">
        <v>68</v>
      </c>
      <c r="F820" s="3" t="str">
        <f t="shared" si="51"/>
        <v>60-69</v>
      </c>
      <c r="G820" t="s">
        <v>353</v>
      </c>
      <c r="H820" t="s">
        <v>51</v>
      </c>
      <c r="I820" t="s">
        <v>26</v>
      </c>
      <c r="J820">
        <v>4</v>
      </c>
      <c r="K820" t="s">
        <v>155</v>
      </c>
      <c r="L820">
        <v>41</v>
      </c>
      <c r="M820" t="s">
        <v>91</v>
      </c>
      <c r="N820">
        <v>14500</v>
      </c>
      <c r="O820">
        <v>14</v>
      </c>
      <c r="P820">
        <v>203000</v>
      </c>
      <c r="Q820">
        <v>97.33</v>
      </c>
      <c r="R820" t="s">
        <v>29</v>
      </c>
      <c r="S820" t="s">
        <v>129</v>
      </c>
      <c r="T820">
        <f t="shared" si="48"/>
        <v>203000</v>
      </c>
      <c r="U820" t="str">
        <f t="shared" si="49"/>
        <v>24+ Months</v>
      </c>
    </row>
    <row r="821" spans="1:21" hidden="1">
      <c r="A821" t="s">
        <v>1224</v>
      </c>
      <c r="B821" t="s">
        <v>75</v>
      </c>
      <c r="C821" s="2" t="s">
        <v>174</v>
      </c>
      <c r="D821" s="2" t="str">
        <f t="shared" si="50"/>
        <v>Boma Sanchez</v>
      </c>
      <c r="E821">
        <v>20</v>
      </c>
      <c r="F821" s="3" t="str">
        <f t="shared" si="51"/>
        <v>20-29</v>
      </c>
      <c r="G821" t="s">
        <v>162</v>
      </c>
      <c r="H821" t="s">
        <v>25</v>
      </c>
      <c r="I821" t="s">
        <v>26</v>
      </c>
      <c r="J821">
        <v>1</v>
      </c>
      <c r="K821" t="s">
        <v>44</v>
      </c>
      <c r="L821">
        <v>18</v>
      </c>
      <c r="M821" t="s">
        <v>73</v>
      </c>
      <c r="N821">
        <v>16000</v>
      </c>
      <c r="O821">
        <v>16</v>
      </c>
      <c r="P821">
        <v>256000</v>
      </c>
      <c r="Q821">
        <v>192.78</v>
      </c>
      <c r="R821" t="s">
        <v>29</v>
      </c>
      <c r="S821" t="s">
        <v>38</v>
      </c>
      <c r="T821">
        <f t="shared" ref="T821:T884" si="52">IF(R821="Yes",P821,0)</f>
        <v>256000</v>
      </c>
      <c r="U821" t="str">
        <f t="shared" ref="U821:U884" si="53">IF(L821&lt;=6,"0-6 Months",
IF(L821&lt;=12,"7-12 Months",
IF(L821&lt;=24,"13-24 Months","24+ Months")))</f>
        <v>13-24 Months</v>
      </c>
    </row>
    <row r="822" spans="1:21" hidden="1">
      <c r="A822" t="s">
        <v>1225</v>
      </c>
      <c r="B822" t="s">
        <v>75</v>
      </c>
      <c r="C822" s="2" t="s">
        <v>174</v>
      </c>
      <c r="D822" s="2" t="str">
        <f t="shared" si="50"/>
        <v>Boma Sanchez</v>
      </c>
      <c r="E822">
        <v>20</v>
      </c>
      <c r="F822" s="3" t="str">
        <f t="shared" si="51"/>
        <v>20-29</v>
      </c>
      <c r="G822" t="s">
        <v>162</v>
      </c>
      <c r="H822" t="s">
        <v>43</v>
      </c>
      <c r="I822" t="s">
        <v>26</v>
      </c>
      <c r="J822">
        <v>1</v>
      </c>
      <c r="K822" t="s">
        <v>44</v>
      </c>
      <c r="L822">
        <v>18</v>
      </c>
      <c r="M822" t="s">
        <v>52</v>
      </c>
      <c r="N822">
        <v>9000</v>
      </c>
      <c r="O822">
        <v>3</v>
      </c>
      <c r="P822">
        <v>27000</v>
      </c>
      <c r="Q822">
        <v>11.54</v>
      </c>
      <c r="R822" t="s">
        <v>29</v>
      </c>
      <c r="S822" t="s">
        <v>38</v>
      </c>
      <c r="T822">
        <f t="shared" si="52"/>
        <v>27000</v>
      </c>
      <c r="U822" t="str">
        <f t="shared" si="53"/>
        <v>13-24 Months</v>
      </c>
    </row>
    <row r="823" spans="1:21" hidden="1">
      <c r="A823" t="s">
        <v>1226</v>
      </c>
      <c r="B823" t="s">
        <v>166</v>
      </c>
      <c r="C823" s="2" t="s">
        <v>552</v>
      </c>
      <c r="D823" s="2" t="str">
        <f t="shared" si="50"/>
        <v>Ese Miller</v>
      </c>
      <c r="E823">
        <v>54</v>
      </c>
      <c r="F823" s="3" t="str">
        <f t="shared" si="51"/>
        <v>50-59</v>
      </c>
      <c r="G823" t="s">
        <v>201</v>
      </c>
      <c r="H823" t="s">
        <v>25</v>
      </c>
      <c r="I823" t="s">
        <v>36</v>
      </c>
      <c r="J823">
        <v>1</v>
      </c>
      <c r="K823" t="s">
        <v>44</v>
      </c>
      <c r="L823">
        <v>58</v>
      </c>
      <c r="M823" t="s">
        <v>73</v>
      </c>
      <c r="N823">
        <v>16000</v>
      </c>
      <c r="O823">
        <v>19</v>
      </c>
      <c r="P823">
        <v>304000</v>
      </c>
      <c r="Q823">
        <v>104.63</v>
      </c>
      <c r="R823" t="s">
        <v>46</v>
      </c>
      <c r="S823" t="s">
        <v>229</v>
      </c>
      <c r="T823">
        <f t="shared" si="52"/>
        <v>0</v>
      </c>
      <c r="U823" t="str">
        <f t="shared" si="53"/>
        <v>24+ Months</v>
      </c>
    </row>
    <row r="824" spans="1:21" hidden="1">
      <c r="A824" t="s">
        <v>1227</v>
      </c>
      <c r="B824" t="s">
        <v>166</v>
      </c>
      <c r="C824" s="2" t="s">
        <v>552</v>
      </c>
      <c r="D824" s="2" t="str">
        <f t="shared" si="50"/>
        <v>Ese Miller</v>
      </c>
      <c r="E824">
        <v>54</v>
      </c>
      <c r="F824" s="3" t="str">
        <f t="shared" si="51"/>
        <v>50-59</v>
      </c>
      <c r="G824" t="s">
        <v>201</v>
      </c>
      <c r="H824" t="s">
        <v>51</v>
      </c>
      <c r="I824" t="s">
        <v>36</v>
      </c>
      <c r="J824">
        <v>1</v>
      </c>
      <c r="K824" t="s">
        <v>44</v>
      </c>
      <c r="L824">
        <v>58</v>
      </c>
      <c r="M824" t="s">
        <v>78</v>
      </c>
      <c r="N824">
        <v>24000</v>
      </c>
      <c r="O824">
        <v>3</v>
      </c>
      <c r="P824">
        <v>72000</v>
      </c>
      <c r="Q824">
        <v>50.74</v>
      </c>
      <c r="R824" t="s">
        <v>46</v>
      </c>
      <c r="S824" t="s">
        <v>229</v>
      </c>
      <c r="T824">
        <f t="shared" si="52"/>
        <v>0</v>
      </c>
      <c r="U824" t="str">
        <f t="shared" si="53"/>
        <v>24+ Months</v>
      </c>
    </row>
    <row r="825" spans="1:21" hidden="1">
      <c r="A825" t="s">
        <v>1228</v>
      </c>
      <c r="B825" t="s">
        <v>166</v>
      </c>
      <c r="C825" s="2" t="s">
        <v>552</v>
      </c>
      <c r="D825" s="2" t="str">
        <f t="shared" si="50"/>
        <v>Ese Miller</v>
      </c>
      <c r="E825">
        <v>54</v>
      </c>
      <c r="F825" s="3" t="str">
        <f t="shared" si="51"/>
        <v>50-59</v>
      </c>
      <c r="G825" t="s">
        <v>201</v>
      </c>
      <c r="H825" t="s">
        <v>43</v>
      </c>
      <c r="I825" t="s">
        <v>36</v>
      </c>
      <c r="J825">
        <v>1</v>
      </c>
      <c r="K825" t="s">
        <v>44</v>
      </c>
      <c r="L825">
        <v>58</v>
      </c>
      <c r="M825" t="s">
        <v>91</v>
      </c>
      <c r="N825">
        <v>14500</v>
      </c>
      <c r="O825">
        <v>11</v>
      </c>
      <c r="P825">
        <v>159500</v>
      </c>
      <c r="Q825">
        <v>120.16</v>
      </c>
      <c r="R825" t="s">
        <v>46</v>
      </c>
      <c r="S825" t="s">
        <v>229</v>
      </c>
      <c r="T825">
        <f t="shared" si="52"/>
        <v>0</v>
      </c>
      <c r="U825" t="str">
        <f t="shared" si="53"/>
        <v>24+ Months</v>
      </c>
    </row>
    <row r="826" spans="1:21" hidden="1">
      <c r="A826" t="s">
        <v>1229</v>
      </c>
      <c r="B826" t="s">
        <v>249</v>
      </c>
      <c r="C826" s="2" t="s">
        <v>1230</v>
      </c>
      <c r="D826" s="2" t="str">
        <f t="shared" si="50"/>
        <v>Tega Stokes</v>
      </c>
      <c r="E826">
        <v>65</v>
      </c>
      <c r="F826" s="3" t="str">
        <f t="shared" si="51"/>
        <v>60-69</v>
      </c>
      <c r="G826" t="s">
        <v>89</v>
      </c>
      <c r="H826" t="s">
        <v>35</v>
      </c>
      <c r="I826" t="s">
        <v>36</v>
      </c>
      <c r="J826">
        <v>1</v>
      </c>
      <c r="K826" t="s">
        <v>44</v>
      </c>
      <c r="L826">
        <v>14</v>
      </c>
      <c r="M826" t="s">
        <v>137</v>
      </c>
      <c r="N826">
        <v>900</v>
      </c>
      <c r="O826">
        <v>12</v>
      </c>
      <c r="P826">
        <v>10800</v>
      </c>
      <c r="Q826">
        <v>98.33</v>
      </c>
      <c r="R826" t="s">
        <v>29</v>
      </c>
      <c r="S826" t="s">
        <v>129</v>
      </c>
      <c r="T826">
        <f t="shared" si="52"/>
        <v>10800</v>
      </c>
      <c r="U826" t="str">
        <f t="shared" si="53"/>
        <v>13-24 Months</v>
      </c>
    </row>
    <row r="827" spans="1:21" hidden="1">
      <c r="A827" t="s">
        <v>1231</v>
      </c>
      <c r="B827" t="s">
        <v>249</v>
      </c>
      <c r="C827" s="2" t="s">
        <v>1230</v>
      </c>
      <c r="D827" s="2" t="str">
        <f t="shared" si="50"/>
        <v>Tega Stokes</v>
      </c>
      <c r="E827">
        <v>65</v>
      </c>
      <c r="F827" s="3" t="str">
        <f t="shared" si="51"/>
        <v>60-69</v>
      </c>
      <c r="G827" t="s">
        <v>89</v>
      </c>
      <c r="H827" t="s">
        <v>25</v>
      </c>
      <c r="I827" t="s">
        <v>36</v>
      </c>
      <c r="J827">
        <v>1</v>
      </c>
      <c r="K827" t="s">
        <v>44</v>
      </c>
      <c r="L827">
        <v>14</v>
      </c>
      <c r="M827" t="s">
        <v>73</v>
      </c>
      <c r="N827">
        <v>16000</v>
      </c>
      <c r="O827">
        <v>14</v>
      </c>
      <c r="P827">
        <v>224000</v>
      </c>
      <c r="Q827">
        <v>63.64</v>
      </c>
      <c r="R827" t="s">
        <v>29</v>
      </c>
      <c r="S827" t="s">
        <v>129</v>
      </c>
      <c r="T827">
        <f t="shared" si="52"/>
        <v>224000</v>
      </c>
      <c r="U827" t="str">
        <f t="shared" si="53"/>
        <v>13-24 Months</v>
      </c>
    </row>
    <row r="828" spans="1:21" hidden="1">
      <c r="A828" t="s">
        <v>1232</v>
      </c>
      <c r="B828" t="s">
        <v>369</v>
      </c>
      <c r="C828" s="2" t="s">
        <v>268</v>
      </c>
      <c r="D828" s="2" t="str">
        <f t="shared" si="50"/>
        <v>John Smith</v>
      </c>
      <c r="E828">
        <v>47</v>
      </c>
      <c r="F828" s="3" t="str">
        <f t="shared" si="51"/>
        <v>40-49</v>
      </c>
      <c r="G828" t="s">
        <v>263</v>
      </c>
      <c r="H828" t="s">
        <v>51</v>
      </c>
      <c r="I828" t="s">
        <v>26</v>
      </c>
      <c r="J828">
        <v>3</v>
      </c>
      <c r="K828" t="s">
        <v>62</v>
      </c>
      <c r="L828">
        <v>24</v>
      </c>
      <c r="M828" t="s">
        <v>52</v>
      </c>
      <c r="N828">
        <v>9000</v>
      </c>
      <c r="O828">
        <v>8</v>
      </c>
      <c r="P828">
        <v>72000</v>
      </c>
      <c r="Q828">
        <v>138.29</v>
      </c>
      <c r="R828" t="s">
        <v>46</v>
      </c>
      <c r="S828" t="s">
        <v>229</v>
      </c>
      <c r="T828">
        <f t="shared" si="52"/>
        <v>0</v>
      </c>
      <c r="U828" t="str">
        <f t="shared" si="53"/>
        <v>13-24 Months</v>
      </c>
    </row>
    <row r="829" spans="1:21">
      <c r="A829" t="s">
        <v>1233</v>
      </c>
      <c r="B829" t="s">
        <v>40</v>
      </c>
      <c r="C829" s="2" t="s">
        <v>268</v>
      </c>
      <c r="D829" s="2" t="str">
        <f t="shared" si="50"/>
        <v>Saidu Smith</v>
      </c>
      <c r="E829">
        <v>65</v>
      </c>
      <c r="F829" s="3" t="str">
        <f t="shared" si="51"/>
        <v>60-69</v>
      </c>
      <c r="G829" t="s">
        <v>206</v>
      </c>
      <c r="H829" t="s">
        <v>35</v>
      </c>
      <c r="I829" t="s">
        <v>36</v>
      </c>
      <c r="J829">
        <v>5</v>
      </c>
      <c r="K829" t="s">
        <v>68</v>
      </c>
      <c r="L829">
        <v>58</v>
      </c>
      <c r="M829" t="s">
        <v>113</v>
      </c>
      <c r="N829">
        <v>7500</v>
      </c>
      <c r="O829">
        <v>9</v>
      </c>
      <c r="P829">
        <v>67500</v>
      </c>
      <c r="Q829">
        <v>185.54</v>
      </c>
      <c r="R829" t="s">
        <v>46</v>
      </c>
      <c r="S829" t="s">
        <v>47</v>
      </c>
      <c r="T829">
        <f t="shared" si="52"/>
        <v>0</v>
      </c>
      <c r="U829" t="str">
        <f t="shared" si="53"/>
        <v>24+ Months</v>
      </c>
    </row>
    <row r="830" spans="1:21">
      <c r="A830" t="s">
        <v>1234</v>
      </c>
      <c r="B830" t="s">
        <v>40</v>
      </c>
      <c r="C830" s="2" t="s">
        <v>268</v>
      </c>
      <c r="D830" s="2" t="str">
        <f t="shared" si="50"/>
        <v>Saidu Smith</v>
      </c>
      <c r="E830">
        <v>65</v>
      </c>
      <c r="F830" s="3" t="str">
        <f t="shared" si="51"/>
        <v>60-69</v>
      </c>
      <c r="G830" t="s">
        <v>206</v>
      </c>
      <c r="H830" t="s">
        <v>51</v>
      </c>
      <c r="I830" t="s">
        <v>36</v>
      </c>
      <c r="J830">
        <v>5</v>
      </c>
      <c r="K830" t="s">
        <v>68</v>
      </c>
      <c r="L830">
        <v>58</v>
      </c>
      <c r="M830" t="s">
        <v>82</v>
      </c>
      <c r="N830">
        <v>30000</v>
      </c>
      <c r="O830">
        <v>8</v>
      </c>
      <c r="P830">
        <v>240000</v>
      </c>
      <c r="Q830">
        <v>18.5</v>
      </c>
      <c r="R830" t="s">
        <v>46</v>
      </c>
      <c r="S830" t="s">
        <v>47</v>
      </c>
      <c r="T830">
        <f t="shared" si="52"/>
        <v>0</v>
      </c>
      <c r="U830" t="str">
        <f t="shared" si="53"/>
        <v>24+ Months</v>
      </c>
    </row>
    <row r="831" spans="1:21">
      <c r="A831" t="s">
        <v>1235</v>
      </c>
      <c r="B831" t="s">
        <v>169</v>
      </c>
      <c r="C831" s="2" t="s">
        <v>1236</v>
      </c>
      <c r="D831" s="2" t="str">
        <f t="shared" si="50"/>
        <v>Maryam Becker</v>
      </c>
      <c r="E831">
        <v>42</v>
      </c>
      <c r="F831" s="3" t="str">
        <f t="shared" si="51"/>
        <v>40-49</v>
      </c>
      <c r="G831" t="s">
        <v>34</v>
      </c>
      <c r="H831" t="s">
        <v>51</v>
      </c>
      <c r="I831" t="s">
        <v>36</v>
      </c>
      <c r="J831">
        <v>4</v>
      </c>
      <c r="K831" t="s">
        <v>155</v>
      </c>
      <c r="L831">
        <v>41</v>
      </c>
      <c r="M831" t="s">
        <v>91</v>
      </c>
      <c r="N831">
        <v>14500</v>
      </c>
      <c r="O831">
        <v>11</v>
      </c>
      <c r="P831">
        <v>159500</v>
      </c>
      <c r="Q831">
        <v>147.52000000000001</v>
      </c>
      <c r="R831" t="s">
        <v>46</v>
      </c>
      <c r="S831" t="s">
        <v>47</v>
      </c>
      <c r="T831">
        <f t="shared" si="52"/>
        <v>0</v>
      </c>
      <c r="U831" t="str">
        <f t="shared" si="53"/>
        <v>24+ Months</v>
      </c>
    </row>
    <row r="832" spans="1:21">
      <c r="A832" t="s">
        <v>1237</v>
      </c>
      <c r="B832" t="s">
        <v>169</v>
      </c>
      <c r="C832" s="2" t="s">
        <v>1236</v>
      </c>
      <c r="D832" s="2" t="str">
        <f t="shared" si="50"/>
        <v>Maryam Becker</v>
      </c>
      <c r="E832">
        <v>42</v>
      </c>
      <c r="F832" s="3" t="str">
        <f t="shared" si="51"/>
        <v>40-49</v>
      </c>
      <c r="G832" t="s">
        <v>34</v>
      </c>
      <c r="H832" t="s">
        <v>25</v>
      </c>
      <c r="I832" t="s">
        <v>36</v>
      </c>
      <c r="J832">
        <v>4</v>
      </c>
      <c r="K832" t="s">
        <v>155</v>
      </c>
      <c r="L832">
        <v>41</v>
      </c>
      <c r="M832" t="s">
        <v>28</v>
      </c>
      <c r="N832">
        <v>35000</v>
      </c>
      <c r="O832">
        <v>4</v>
      </c>
      <c r="P832">
        <v>140000</v>
      </c>
      <c r="Q832">
        <v>175.41</v>
      </c>
      <c r="R832" t="s">
        <v>46</v>
      </c>
      <c r="S832" t="s">
        <v>47</v>
      </c>
      <c r="T832">
        <f t="shared" si="52"/>
        <v>0</v>
      </c>
      <c r="U832" t="str">
        <f t="shared" si="53"/>
        <v>24+ Months</v>
      </c>
    </row>
    <row r="833" spans="1:21">
      <c r="A833" t="s">
        <v>1238</v>
      </c>
      <c r="B833" t="s">
        <v>192</v>
      </c>
      <c r="C833" s="2" t="s">
        <v>1239</v>
      </c>
      <c r="D833" s="2" t="str">
        <f t="shared" si="50"/>
        <v>Amina Ortega</v>
      </c>
      <c r="E833">
        <v>49</v>
      </c>
      <c r="F833" s="3" t="str">
        <f t="shared" si="51"/>
        <v>40-49</v>
      </c>
      <c r="G833" t="s">
        <v>260</v>
      </c>
      <c r="H833" t="s">
        <v>43</v>
      </c>
      <c r="I833" t="s">
        <v>26</v>
      </c>
      <c r="J833">
        <v>5</v>
      </c>
      <c r="K833" t="s">
        <v>68</v>
      </c>
      <c r="L833">
        <v>23</v>
      </c>
      <c r="M833" t="s">
        <v>52</v>
      </c>
      <c r="N833">
        <v>9000</v>
      </c>
      <c r="O833">
        <v>6</v>
      </c>
      <c r="P833">
        <v>54000</v>
      </c>
      <c r="Q833">
        <v>128.44999999999999</v>
      </c>
      <c r="R833" t="s">
        <v>46</v>
      </c>
      <c r="S833" t="s">
        <v>47</v>
      </c>
      <c r="T833">
        <f t="shared" si="52"/>
        <v>0</v>
      </c>
      <c r="U833" t="str">
        <f t="shared" si="53"/>
        <v>13-24 Months</v>
      </c>
    </row>
    <row r="834" spans="1:21">
      <c r="A834" t="s">
        <v>1240</v>
      </c>
      <c r="B834" t="s">
        <v>192</v>
      </c>
      <c r="C834" s="2" t="s">
        <v>1239</v>
      </c>
      <c r="D834" s="2" t="str">
        <f t="shared" si="50"/>
        <v>Amina Ortega</v>
      </c>
      <c r="E834">
        <v>49</v>
      </c>
      <c r="F834" s="3" t="str">
        <f t="shared" si="51"/>
        <v>40-49</v>
      </c>
      <c r="G834" t="s">
        <v>260</v>
      </c>
      <c r="H834" t="s">
        <v>25</v>
      </c>
      <c r="I834" t="s">
        <v>26</v>
      </c>
      <c r="J834">
        <v>5</v>
      </c>
      <c r="K834" t="s">
        <v>68</v>
      </c>
      <c r="L834">
        <v>23</v>
      </c>
      <c r="M834" t="s">
        <v>28</v>
      </c>
      <c r="N834">
        <v>35000</v>
      </c>
      <c r="O834">
        <v>5</v>
      </c>
      <c r="P834">
        <v>175000</v>
      </c>
      <c r="Q834">
        <v>158.31</v>
      </c>
      <c r="R834" t="s">
        <v>46</v>
      </c>
      <c r="S834" t="s">
        <v>47</v>
      </c>
      <c r="T834">
        <f t="shared" si="52"/>
        <v>0</v>
      </c>
      <c r="U834" t="str">
        <f t="shared" si="53"/>
        <v>13-24 Months</v>
      </c>
    </row>
    <row r="835" spans="1:21">
      <c r="A835" t="s">
        <v>1241</v>
      </c>
      <c r="B835" t="s">
        <v>192</v>
      </c>
      <c r="C835" s="2" t="s">
        <v>1239</v>
      </c>
      <c r="D835" s="2" t="str">
        <f t="shared" ref="D835:D898" si="54">B835&amp;" "&amp;C835</f>
        <v>Amina Ortega</v>
      </c>
      <c r="E835">
        <v>49</v>
      </c>
      <c r="F835" s="3" t="str">
        <f t="shared" ref="F835:F898" si="55">FLOOR(E835, 10)&amp;"-"&amp;FLOOR(E835, 10)+9</f>
        <v>40-49</v>
      </c>
      <c r="G835" t="s">
        <v>260</v>
      </c>
      <c r="H835" t="s">
        <v>51</v>
      </c>
      <c r="I835" t="s">
        <v>26</v>
      </c>
      <c r="J835">
        <v>5</v>
      </c>
      <c r="K835" t="s">
        <v>68</v>
      </c>
      <c r="L835">
        <v>23</v>
      </c>
      <c r="M835" t="s">
        <v>52</v>
      </c>
      <c r="N835">
        <v>9000</v>
      </c>
      <c r="O835">
        <v>10</v>
      </c>
      <c r="P835">
        <v>90000</v>
      </c>
      <c r="Q835">
        <v>80.430000000000007</v>
      </c>
      <c r="R835" t="s">
        <v>46</v>
      </c>
      <c r="S835" t="s">
        <v>47</v>
      </c>
      <c r="T835">
        <f t="shared" si="52"/>
        <v>0</v>
      </c>
      <c r="U835" t="str">
        <f t="shared" si="53"/>
        <v>13-24 Months</v>
      </c>
    </row>
    <row r="836" spans="1:21">
      <c r="A836" t="s">
        <v>1242</v>
      </c>
      <c r="B836" t="s">
        <v>166</v>
      </c>
      <c r="C836" s="2" t="s">
        <v>1243</v>
      </c>
      <c r="D836" s="2" t="str">
        <f t="shared" si="54"/>
        <v>Ese Mathis</v>
      </c>
      <c r="E836">
        <v>26</v>
      </c>
      <c r="F836" s="3" t="str">
        <f t="shared" si="55"/>
        <v>20-29</v>
      </c>
      <c r="G836" t="s">
        <v>240</v>
      </c>
      <c r="H836" t="s">
        <v>35</v>
      </c>
      <c r="I836" t="s">
        <v>26</v>
      </c>
      <c r="J836">
        <v>5</v>
      </c>
      <c r="K836" t="s">
        <v>68</v>
      </c>
      <c r="L836">
        <v>16</v>
      </c>
      <c r="M836" t="s">
        <v>227</v>
      </c>
      <c r="N836">
        <v>600</v>
      </c>
      <c r="O836">
        <v>19</v>
      </c>
      <c r="P836">
        <v>11400</v>
      </c>
      <c r="Q836">
        <v>52.51</v>
      </c>
      <c r="R836" t="s">
        <v>46</v>
      </c>
      <c r="S836" t="s">
        <v>47</v>
      </c>
      <c r="T836">
        <f t="shared" si="52"/>
        <v>0</v>
      </c>
      <c r="U836" t="str">
        <f t="shared" si="53"/>
        <v>13-24 Months</v>
      </c>
    </row>
    <row r="837" spans="1:21">
      <c r="A837" t="s">
        <v>1244</v>
      </c>
      <c r="B837" t="s">
        <v>166</v>
      </c>
      <c r="C837" s="2" t="s">
        <v>1243</v>
      </c>
      <c r="D837" s="2" t="str">
        <f t="shared" si="54"/>
        <v>Ese Mathis</v>
      </c>
      <c r="E837">
        <v>26</v>
      </c>
      <c r="F837" s="3" t="str">
        <f t="shared" si="55"/>
        <v>20-29</v>
      </c>
      <c r="G837" t="s">
        <v>240</v>
      </c>
      <c r="H837" t="s">
        <v>25</v>
      </c>
      <c r="I837" t="s">
        <v>26</v>
      </c>
      <c r="J837">
        <v>5</v>
      </c>
      <c r="K837" t="s">
        <v>68</v>
      </c>
      <c r="L837">
        <v>16</v>
      </c>
      <c r="M837" t="s">
        <v>63</v>
      </c>
      <c r="N837">
        <v>9000</v>
      </c>
      <c r="O837">
        <v>7</v>
      </c>
      <c r="P837">
        <v>63000</v>
      </c>
      <c r="Q837">
        <v>160.01</v>
      </c>
      <c r="R837" t="s">
        <v>46</v>
      </c>
      <c r="S837" t="s">
        <v>47</v>
      </c>
      <c r="T837">
        <f t="shared" si="52"/>
        <v>0</v>
      </c>
      <c r="U837" t="str">
        <f t="shared" si="53"/>
        <v>13-24 Months</v>
      </c>
    </row>
    <row r="838" spans="1:21" hidden="1">
      <c r="A838" t="s">
        <v>1245</v>
      </c>
      <c r="B838" t="s">
        <v>219</v>
      </c>
      <c r="C838" s="2" t="s">
        <v>187</v>
      </c>
      <c r="D838" s="2" t="str">
        <f t="shared" si="54"/>
        <v>Chinedu West</v>
      </c>
      <c r="E838">
        <v>69</v>
      </c>
      <c r="F838" s="3" t="str">
        <f t="shared" si="55"/>
        <v>60-69</v>
      </c>
      <c r="G838" t="s">
        <v>56</v>
      </c>
      <c r="H838" t="s">
        <v>25</v>
      </c>
      <c r="I838" t="s">
        <v>26</v>
      </c>
      <c r="J838">
        <v>5</v>
      </c>
      <c r="K838" t="s">
        <v>68</v>
      </c>
      <c r="L838">
        <v>26</v>
      </c>
      <c r="M838" t="s">
        <v>57</v>
      </c>
      <c r="N838">
        <v>4500</v>
      </c>
      <c r="O838">
        <v>6</v>
      </c>
      <c r="P838">
        <v>27000</v>
      </c>
      <c r="Q838">
        <v>52.73</v>
      </c>
      <c r="R838" t="s">
        <v>29</v>
      </c>
      <c r="S838" t="s">
        <v>97</v>
      </c>
      <c r="T838">
        <f t="shared" si="52"/>
        <v>27000</v>
      </c>
      <c r="U838" t="str">
        <f t="shared" si="53"/>
        <v>24+ Months</v>
      </c>
    </row>
    <row r="839" spans="1:21" hidden="1">
      <c r="A839" t="s">
        <v>1246</v>
      </c>
      <c r="B839" t="s">
        <v>219</v>
      </c>
      <c r="C839" s="2" t="s">
        <v>187</v>
      </c>
      <c r="D839" s="2" t="str">
        <f t="shared" si="54"/>
        <v>Chinedu West</v>
      </c>
      <c r="E839">
        <v>69</v>
      </c>
      <c r="F839" s="3" t="str">
        <f t="shared" si="55"/>
        <v>60-69</v>
      </c>
      <c r="G839" t="s">
        <v>56</v>
      </c>
      <c r="H839" t="s">
        <v>51</v>
      </c>
      <c r="I839" t="s">
        <v>26</v>
      </c>
      <c r="J839">
        <v>5</v>
      </c>
      <c r="K839" t="s">
        <v>68</v>
      </c>
      <c r="L839">
        <v>26</v>
      </c>
      <c r="M839" t="s">
        <v>52</v>
      </c>
      <c r="N839">
        <v>9000</v>
      </c>
      <c r="O839">
        <v>14</v>
      </c>
      <c r="P839">
        <v>126000</v>
      </c>
      <c r="Q839">
        <v>80.510000000000005</v>
      </c>
      <c r="R839" t="s">
        <v>29</v>
      </c>
      <c r="S839" t="s">
        <v>97</v>
      </c>
      <c r="T839">
        <f t="shared" si="52"/>
        <v>126000</v>
      </c>
      <c r="U839" t="str">
        <f t="shared" si="53"/>
        <v>24+ Months</v>
      </c>
    </row>
    <row r="840" spans="1:21" hidden="1">
      <c r="A840" t="s">
        <v>1247</v>
      </c>
      <c r="B840" t="s">
        <v>219</v>
      </c>
      <c r="C840" s="2" t="s">
        <v>187</v>
      </c>
      <c r="D840" s="2" t="str">
        <f t="shared" si="54"/>
        <v>Chinedu West</v>
      </c>
      <c r="E840">
        <v>69</v>
      </c>
      <c r="F840" s="3" t="str">
        <f t="shared" si="55"/>
        <v>60-69</v>
      </c>
      <c r="G840" t="s">
        <v>56</v>
      </c>
      <c r="H840" t="s">
        <v>35</v>
      </c>
      <c r="I840" t="s">
        <v>26</v>
      </c>
      <c r="J840">
        <v>5</v>
      </c>
      <c r="K840" t="s">
        <v>68</v>
      </c>
      <c r="L840">
        <v>26</v>
      </c>
      <c r="M840" t="s">
        <v>49</v>
      </c>
      <c r="N840">
        <v>500</v>
      </c>
      <c r="O840">
        <v>12</v>
      </c>
      <c r="P840">
        <v>6000</v>
      </c>
      <c r="Q840">
        <v>30.28</v>
      </c>
      <c r="R840" t="s">
        <v>29</v>
      </c>
      <c r="S840" t="s">
        <v>97</v>
      </c>
      <c r="T840">
        <f t="shared" si="52"/>
        <v>6000</v>
      </c>
      <c r="U840" t="str">
        <f t="shared" si="53"/>
        <v>24+ Months</v>
      </c>
    </row>
    <row r="841" spans="1:21" hidden="1">
      <c r="A841" t="s">
        <v>1248</v>
      </c>
      <c r="B841" t="s">
        <v>192</v>
      </c>
      <c r="C841" s="2" t="s">
        <v>1249</v>
      </c>
      <c r="D841" s="2" t="str">
        <f t="shared" si="54"/>
        <v>Amina Skinner</v>
      </c>
      <c r="E841">
        <v>31</v>
      </c>
      <c r="F841" s="3" t="str">
        <f t="shared" si="55"/>
        <v>30-39</v>
      </c>
      <c r="G841" t="s">
        <v>628</v>
      </c>
      <c r="H841" t="s">
        <v>25</v>
      </c>
      <c r="I841" t="s">
        <v>36</v>
      </c>
      <c r="J841">
        <v>4</v>
      </c>
      <c r="K841" t="s">
        <v>155</v>
      </c>
      <c r="L841">
        <v>50</v>
      </c>
      <c r="M841" t="s">
        <v>63</v>
      </c>
      <c r="N841">
        <v>9000</v>
      </c>
      <c r="O841">
        <v>16</v>
      </c>
      <c r="P841">
        <v>144000</v>
      </c>
      <c r="Q841">
        <v>57.95</v>
      </c>
      <c r="R841" t="s">
        <v>29</v>
      </c>
      <c r="S841" t="s">
        <v>393</v>
      </c>
      <c r="T841">
        <f t="shared" si="52"/>
        <v>144000</v>
      </c>
      <c r="U841" t="str">
        <f t="shared" si="53"/>
        <v>24+ Months</v>
      </c>
    </row>
    <row r="842" spans="1:21">
      <c r="A842" t="s">
        <v>1250</v>
      </c>
      <c r="B842" t="s">
        <v>358</v>
      </c>
      <c r="C842" s="2" t="s">
        <v>268</v>
      </c>
      <c r="D842" s="2" t="str">
        <f t="shared" si="54"/>
        <v>Omamuzo Smith</v>
      </c>
      <c r="E842">
        <v>32</v>
      </c>
      <c r="F842" s="3" t="str">
        <f t="shared" si="55"/>
        <v>30-39</v>
      </c>
      <c r="G842" t="s">
        <v>24</v>
      </c>
      <c r="H842" t="s">
        <v>35</v>
      </c>
      <c r="I842" t="s">
        <v>26</v>
      </c>
      <c r="J842">
        <v>3</v>
      </c>
      <c r="K842" t="s">
        <v>62</v>
      </c>
      <c r="L842">
        <v>39</v>
      </c>
      <c r="M842" t="s">
        <v>227</v>
      </c>
      <c r="N842">
        <v>600</v>
      </c>
      <c r="O842">
        <v>5</v>
      </c>
      <c r="P842">
        <v>3000</v>
      </c>
      <c r="Q842">
        <v>82</v>
      </c>
      <c r="R842" t="s">
        <v>46</v>
      </c>
      <c r="S842" t="s">
        <v>47</v>
      </c>
      <c r="T842">
        <f t="shared" si="52"/>
        <v>0</v>
      </c>
      <c r="U842" t="str">
        <f t="shared" si="53"/>
        <v>24+ Months</v>
      </c>
    </row>
    <row r="843" spans="1:21">
      <c r="A843" t="s">
        <v>1251</v>
      </c>
      <c r="B843" t="s">
        <v>490</v>
      </c>
      <c r="C843" s="2" t="s">
        <v>1252</v>
      </c>
      <c r="D843" s="2" t="str">
        <f t="shared" si="54"/>
        <v>Funke Lawson</v>
      </c>
      <c r="E843">
        <v>53</v>
      </c>
      <c r="F843" s="3" t="str">
        <f t="shared" si="55"/>
        <v>50-59</v>
      </c>
      <c r="G843" t="s">
        <v>197</v>
      </c>
      <c r="H843" t="s">
        <v>35</v>
      </c>
      <c r="I843" t="s">
        <v>26</v>
      </c>
      <c r="J843">
        <v>2</v>
      </c>
      <c r="K843" t="s">
        <v>27</v>
      </c>
      <c r="L843">
        <v>40</v>
      </c>
      <c r="M843" t="s">
        <v>37</v>
      </c>
      <c r="N843">
        <v>5500</v>
      </c>
      <c r="O843">
        <v>11</v>
      </c>
      <c r="P843">
        <v>60500</v>
      </c>
      <c r="Q843">
        <v>27.07</v>
      </c>
      <c r="R843" t="s">
        <v>46</v>
      </c>
      <c r="S843" t="s">
        <v>47</v>
      </c>
      <c r="T843">
        <f t="shared" si="52"/>
        <v>0</v>
      </c>
      <c r="U843" t="str">
        <f t="shared" si="53"/>
        <v>24+ Months</v>
      </c>
    </row>
    <row r="844" spans="1:21">
      <c r="A844" t="s">
        <v>1253</v>
      </c>
      <c r="B844" t="s">
        <v>490</v>
      </c>
      <c r="C844" s="2" t="s">
        <v>1252</v>
      </c>
      <c r="D844" s="2" t="str">
        <f t="shared" si="54"/>
        <v>Funke Lawson</v>
      </c>
      <c r="E844">
        <v>53</v>
      </c>
      <c r="F844" s="3" t="str">
        <f t="shared" si="55"/>
        <v>50-59</v>
      </c>
      <c r="G844" t="s">
        <v>197</v>
      </c>
      <c r="H844" t="s">
        <v>51</v>
      </c>
      <c r="I844" t="s">
        <v>26</v>
      </c>
      <c r="J844">
        <v>2</v>
      </c>
      <c r="K844" t="s">
        <v>27</v>
      </c>
      <c r="L844">
        <v>40</v>
      </c>
      <c r="M844" t="s">
        <v>91</v>
      </c>
      <c r="N844">
        <v>14500</v>
      </c>
      <c r="O844">
        <v>13</v>
      </c>
      <c r="P844">
        <v>188500</v>
      </c>
      <c r="Q844">
        <v>137.53</v>
      </c>
      <c r="R844" t="s">
        <v>46</v>
      </c>
      <c r="S844" t="s">
        <v>47</v>
      </c>
      <c r="T844">
        <f t="shared" si="52"/>
        <v>0</v>
      </c>
      <c r="U844" t="str">
        <f t="shared" si="53"/>
        <v>24+ Months</v>
      </c>
    </row>
    <row r="845" spans="1:21">
      <c r="A845" t="s">
        <v>1254</v>
      </c>
      <c r="B845" t="s">
        <v>490</v>
      </c>
      <c r="C845" s="2" t="s">
        <v>1252</v>
      </c>
      <c r="D845" s="2" t="str">
        <f t="shared" si="54"/>
        <v>Funke Lawson</v>
      </c>
      <c r="E845">
        <v>53</v>
      </c>
      <c r="F845" s="3" t="str">
        <f t="shared" si="55"/>
        <v>50-59</v>
      </c>
      <c r="G845" t="s">
        <v>197</v>
      </c>
      <c r="H845" t="s">
        <v>43</v>
      </c>
      <c r="I845" t="s">
        <v>26</v>
      </c>
      <c r="J845">
        <v>2</v>
      </c>
      <c r="K845" t="s">
        <v>27</v>
      </c>
      <c r="L845">
        <v>40</v>
      </c>
      <c r="M845" t="s">
        <v>143</v>
      </c>
      <c r="N845">
        <v>75000</v>
      </c>
      <c r="O845">
        <v>9</v>
      </c>
      <c r="P845">
        <v>675000</v>
      </c>
      <c r="Q845">
        <v>147.35</v>
      </c>
      <c r="R845" t="s">
        <v>46</v>
      </c>
      <c r="S845" t="s">
        <v>47</v>
      </c>
      <c r="T845">
        <f t="shared" si="52"/>
        <v>0</v>
      </c>
      <c r="U845" t="str">
        <f t="shared" si="53"/>
        <v>24+ Months</v>
      </c>
    </row>
    <row r="846" spans="1:21">
      <c r="A846" t="s">
        <v>1255</v>
      </c>
      <c r="B846" t="s">
        <v>121</v>
      </c>
      <c r="C846" s="2" t="s">
        <v>498</v>
      </c>
      <c r="D846" s="2" t="str">
        <f t="shared" si="54"/>
        <v>Kunle Cooper</v>
      </c>
      <c r="E846">
        <v>28</v>
      </c>
      <c r="F846" s="3" t="str">
        <f t="shared" si="55"/>
        <v>20-29</v>
      </c>
      <c r="G846" t="s">
        <v>61</v>
      </c>
      <c r="H846" t="s">
        <v>51</v>
      </c>
      <c r="I846" t="s">
        <v>26</v>
      </c>
      <c r="J846">
        <v>4</v>
      </c>
      <c r="K846" t="s">
        <v>155</v>
      </c>
      <c r="L846">
        <v>22</v>
      </c>
      <c r="M846" t="s">
        <v>78</v>
      </c>
      <c r="N846">
        <v>24000</v>
      </c>
      <c r="O846">
        <v>10</v>
      </c>
      <c r="P846">
        <v>240000</v>
      </c>
      <c r="Q846">
        <v>124.12</v>
      </c>
      <c r="R846" t="s">
        <v>46</v>
      </c>
      <c r="S846" t="s">
        <v>47</v>
      </c>
      <c r="T846">
        <f t="shared" si="52"/>
        <v>0</v>
      </c>
      <c r="U846" t="str">
        <f t="shared" si="53"/>
        <v>13-24 Months</v>
      </c>
    </row>
    <row r="847" spans="1:21">
      <c r="A847" t="s">
        <v>1256</v>
      </c>
      <c r="B847" t="s">
        <v>121</v>
      </c>
      <c r="C847" s="2" t="s">
        <v>498</v>
      </c>
      <c r="D847" s="2" t="str">
        <f t="shared" si="54"/>
        <v>Kunle Cooper</v>
      </c>
      <c r="E847">
        <v>28</v>
      </c>
      <c r="F847" s="3" t="str">
        <f t="shared" si="55"/>
        <v>20-29</v>
      </c>
      <c r="G847" t="s">
        <v>61</v>
      </c>
      <c r="H847" t="s">
        <v>35</v>
      </c>
      <c r="I847" t="s">
        <v>26</v>
      </c>
      <c r="J847">
        <v>4</v>
      </c>
      <c r="K847" t="s">
        <v>155</v>
      </c>
      <c r="L847">
        <v>22</v>
      </c>
      <c r="M847" t="s">
        <v>113</v>
      </c>
      <c r="N847">
        <v>7500</v>
      </c>
      <c r="O847">
        <v>5</v>
      </c>
      <c r="P847">
        <v>37500</v>
      </c>
      <c r="Q847">
        <v>134.41999999999999</v>
      </c>
      <c r="R847" t="s">
        <v>46</v>
      </c>
      <c r="S847" t="s">
        <v>47</v>
      </c>
      <c r="T847">
        <f t="shared" si="52"/>
        <v>0</v>
      </c>
      <c r="U847" t="str">
        <f t="shared" si="53"/>
        <v>13-24 Months</v>
      </c>
    </row>
    <row r="848" spans="1:21">
      <c r="A848" t="s">
        <v>1257</v>
      </c>
      <c r="B848" t="s">
        <v>121</v>
      </c>
      <c r="C848" s="2" t="s">
        <v>498</v>
      </c>
      <c r="D848" s="2" t="str">
        <f t="shared" si="54"/>
        <v>Kunle Cooper</v>
      </c>
      <c r="E848">
        <v>28</v>
      </c>
      <c r="F848" s="3" t="str">
        <f t="shared" si="55"/>
        <v>20-29</v>
      </c>
      <c r="G848" t="s">
        <v>61</v>
      </c>
      <c r="H848" t="s">
        <v>25</v>
      </c>
      <c r="I848" t="s">
        <v>26</v>
      </c>
      <c r="J848">
        <v>4</v>
      </c>
      <c r="K848" t="s">
        <v>155</v>
      </c>
      <c r="L848">
        <v>22</v>
      </c>
      <c r="M848" t="s">
        <v>73</v>
      </c>
      <c r="N848">
        <v>16000</v>
      </c>
      <c r="O848">
        <v>9</v>
      </c>
      <c r="P848">
        <v>144000</v>
      </c>
      <c r="Q848">
        <v>116.31</v>
      </c>
      <c r="R848" t="s">
        <v>46</v>
      </c>
      <c r="S848" t="s">
        <v>47</v>
      </c>
      <c r="T848">
        <f t="shared" si="52"/>
        <v>0</v>
      </c>
      <c r="U848" t="str">
        <f t="shared" si="53"/>
        <v>13-24 Months</v>
      </c>
    </row>
    <row r="849" spans="1:21" hidden="1">
      <c r="A849" t="s">
        <v>1258</v>
      </c>
      <c r="B849" t="s">
        <v>192</v>
      </c>
      <c r="C849" s="2" t="s">
        <v>1259</v>
      </c>
      <c r="D849" s="2" t="str">
        <f t="shared" si="54"/>
        <v>Amina Espinoza</v>
      </c>
      <c r="E849">
        <v>80</v>
      </c>
      <c r="F849" s="3" t="str">
        <f t="shared" si="55"/>
        <v>80-89</v>
      </c>
      <c r="G849" t="s">
        <v>117</v>
      </c>
      <c r="H849" t="s">
        <v>35</v>
      </c>
      <c r="I849" t="s">
        <v>36</v>
      </c>
      <c r="J849">
        <v>2</v>
      </c>
      <c r="K849" t="s">
        <v>27</v>
      </c>
      <c r="L849">
        <v>57</v>
      </c>
      <c r="M849" t="s">
        <v>108</v>
      </c>
      <c r="N849">
        <v>1000</v>
      </c>
      <c r="O849">
        <v>5</v>
      </c>
      <c r="P849">
        <v>5000</v>
      </c>
      <c r="Q849">
        <v>63</v>
      </c>
      <c r="R849" t="s">
        <v>29</v>
      </c>
      <c r="S849" t="s">
        <v>393</v>
      </c>
      <c r="T849">
        <f t="shared" si="52"/>
        <v>5000</v>
      </c>
      <c r="U849" t="str">
        <f t="shared" si="53"/>
        <v>24+ Months</v>
      </c>
    </row>
    <row r="850" spans="1:21" hidden="1">
      <c r="A850" t="s">
        <v>1260</v>
      </c>
      <c r="B850" t="s">
        <v>192</v>
      </c>
      <c r="C850" s="2" t="s">
        <v>1259</v>
      </c>
      <c r="D850" s="2" t="str">
        <f t="shared" si="54"/>
        <v>Amina Espinoza</v>
      </c>
      <c r="E850">
        <v>80</v>
      </c>
      <c r="F850" s="3" t="str">
        <f t="shared" si="55"/>
        <v>80-89</v>
      </c>
      <c r="G850" t="s">
        <v>117</v>
      </c>
      <c r="H850" t="s">
        <v>51</v>
      </c>
      <c r="I850" t="s">
        <v>36</v>
      </c>
      <c r="J850">
        <v>2</v>
      </c>
      <c r="K850" t="s">
        <v>27</v>
      </c>
      <c r="L850">
        <v>57</v>
      </c>
      <c r="M850" t="s">
        <v>91</v>
      </c>
      <c r="N850">
        <v>14500</v>
      </c>
      <c r="O850">
        <v>9</v>
      </c>
      <c r="P850">
        <v>130500</v>
      </c>
      <c r="Q850">
        <v>174.4</v>
      </c>
      <c r="R850" t="s">
        <v>29</v>
      </c>
      <c r="S850" t="s">
        <v>393</v>
      </c>
      <c r="T850">
        <f t="shared" si="52"/>
        <v>130500</v>
      </c>
      <c r="U850" t="str">
        <f t="shared" si="53"/>
        <v>24+ Months</v>
      </c>
    </row>
    <row r="851" spans="1:21" hidden="1">
      <c r="A851" t="s">
        <v>1261</v>
      </c>
      <c r="B851" t="s">
        <v>192</v>
      </c>
      <c r="C851" s="2" t="s">
        <v>1259</v>
      </c>
      <c r="D851" s="2" t="str">
        <f t="shared" si="54"/>
        <v>Amina Espinoza</v>
      </c>
      <c r="E851">
        <v>80</v>
      </c>
      <c r="F851" s="3" t="str">
        <f t="shared" si="55"/>
        <v>80-89</v>
      </c>
      <c r="G851" t="s">
        <v>117</v>
      </c>
      <c r="H851" t="s">
        <v>25</v>
      </c>
      <c r="I851" t="s">
        <v>36</v>
      </c>
      <c r="J851">
        <v>2</v>
      </c>
      <c r="K851" t="s">
        <v>27</v>
      </c>
      <c r="L851">
        <v>57</v>
      </c>
      <c r="M851" t="s">
        <v>63</v>
      </c>
      <c r="N851">
        <v>9000</v>
      </c>
      <c r="O851">
        <v>10</v>
      </c>
      <c r="P851">
        <v>90000</v>
      </c>
      <c r="Q851">
        <v>185.28</v>
      </c>
      <c r="R851" t="s">
        <v>29</v>
      </c>
      <c r="S851" t="s">
        <v>393</v>
      </c>
      <c r="T851">
        <f t="shared" si="52"/>
        <v>90000</v>
      </c>
      <c r="U851" t="str">
        <f t="shared" si="53"/>
        <v>24+ Months</v>
      </c>
    </row>
    <row r="852" spans="1:21">
      <c r="A852" t="s">
        <v>1262</v>
      </c>
      <c r="B852" t="s">
        <v>40</v>
      </c>
      <c r="C852" s="2" t="s">
        <v>1263</v>
      </c>
      <c r="D852" s="2" t="str">
        <f t="shared" si="54"/>
        <v>Saidu Whitehead</v>
      </c>
      <c r="E852">
        <v>49</v>
      </c>
      <c r="F852" s="3" t="str">
        <f t="shared" si="55"/>
        <v>40-49</v>
      </c>
      <c r="G852" t="s">
        <v>96</v>
      </c>
      <c r="H852" t="s">
        <v>25</v>
      </c>
      <c r="I852" t="s">
        <v>36</v>
      </c>
      <c r="J852">
        <v>3</v>
      </c>
      <c r="K852" t="s">
        <v>62</v>
      </c>
      <c r="L852">
        <v>28</v>
      </c>
      <c r="M852" t="s">
        <v>28</v>
      </c>
      <c r="N852">
        <v>35000</v>
      </c>
      <c r="O852">
        <v>5</v>
      </c>
      <c r="P852">
        <v>175000</v>
      </c>
      <c r="Q852">
        <v>11.12</v>
      </c>
      <c r="R852" t="s">
        <v>46</v>
      </c>
      <c r="S852" t="s">
        <v>47</v>
      </c>
      <c r="T852">
        <f t="shared" si="52"/>
        <v>0</v>
      </c>
      <c r="U852" t="str">
        <f t="shared" si="53"/>
        <v>24+ Months</v>
      </c>
    </row>
    <row r="853" spans="1:21">
      <c r="A853" t="s">
        <v>1264</v>
      </c>
      <c r="B853" t="s">
        <v>40</v>
      </c>
      <c r="C853" s="2" t="s">
        <v>1263</v>
      </c>
      <c r="D853" s="2" t="str">
        <f t="shared" si="54"/>
        <v>Saidu Whitehead</v>
      </c>
      <c r="E853">
        <v>49</v>
      </c>
      <c r="F853" s="3" t="str">
        <f t="shared" si="55"/>
        <v>40-49</v>
      </c>
      <c r="G853" t="s">
        <v>96</v>
      </c>
      <c r="H853" t="s">
        <v>43</v>
      </c>
      <c r="I853" t="s">
        <v>36</v>
      </c>
      <c r="J853">
        <v>3</v>
      </c>
      <c r="K853" t="s">
        <v>62</v>
      </c>
      <c r="L853">
        <v>28</v>
      </c>
      <c r="M853" t="s">
        <v>52</v>
      </c>
      <c r="N853">
        <v>9000</v>
      </c>
      <c r="O853">
        <v>2</v>
      </c>
      <c r="P853">
        <v>18000</v>
      </c>
      <c r="Q853">
        <v>46.36</v>
      </c>
      <c r="R853" t="s">
        <v>46</v>
      </c>
      <c r="S853" t="s">
        <v>47</v>
      </c>
      <c r="T853">
        <f t="shared" si="52"/>
        <v>0</v>
      </c>
      <c r="U853" t="str">
        <f t="shared" si="53"/>
        <v>24+ Months</v>
      </c>
    </row>
    <row r="854" spans="1:21" hidden="1">
      <c r="A854" t="s">
        <v>1265</v>
      </c>
      <c r="B854" t="s">
        <v>369</v>
      </c>
      <c r="C854" s="2" t="s">
        <v>277</v>
      </c>
      <c r="D854" s="2" t="str">
        <f t="shared" si="54"/>
        <v>John Williams</v>
      </c>
      <c r="E854">
        <v>49</v>
      </c>
      <c r="F854" s="3" t="str">
        <f t="shared" si="55"/>
        <v>40-49</v>
      </c>
      <c r="G854" t="s">
        <v>34</v>
      </c>
      <c r="H854" t="s">
        <v>35</v>
      </c>
      <c r="I854" t="s">
        <v>36</v>
      </c>
      <c r="J854">
        <v>4</v>
      </c>
      <c r="K854" t="s">
        <v>155</v>
      </c>
      <c r="L854">
        <v>28</v>
      </c>
      <c r="M854" t="s">
        <v>108</v>
      </c>
      <c r="N854">
        <v>1000</v>
      </c>
      <c r="O854">
        <v>5</v>
      </c>
      <c r="P854">
        <v>5000</v>
      </c>
      <c r="Q854">
        <v>169.24</v>
      </c>
      <c r="R854" t="s">
        <v>29</v>
      </c>
      <c r="S854" t="s">
        <v>129</v>
      </c>
      <c r="T854">
        <f t="shared" si="52"/>
        <v>5000</v>
      </c>
      <c r="U854" t="str">
        <f t="shared" si="53"/>
        <v>24+ Months</v>
      </c>
    </row>
    <row r="855" spans="1:21" hidden="1">
      <c r="A855" t="s">
        <v>1266</v>
      </c>
      <c r="B855" t="s">
        <v>369</v>
      </c>
      <c r="C855" s="2" t="s">
        <v>277</v>
      </c>
      <c r="D855" s="2" t="str">
        <f t="shared" si="54"/>
        <v>John Williams</v>
      </c>
      <c r="E855">
        <v>49</v>
      </c>
      <c r="F855" s="3" t="str">
        <f t="shared" si="55"/>
        <v>40-49</v>
      </c>
      <c r="G855" t="s">
        <v>34</v>
      </c>
      <c r="H855" t="s">
        <v>25</v>
      </c>
      <c r="I855" t="s">
        <v>36</v>
      </c>
      <c r="J855">
        <v>4</v>
      </c>
      <c r="K855" t="s">
        <v>155</v>
      </c>
      <c r="L855">
        <v>28</v>
      </c>
      <c r="M855" t="s">
        <v>73</v>
      </c>
      <c r="N855">
        <v>16000</v>
      </c>
      <c r="O855">
        <v>7</v>
      </c>
      <c r="P855">
        <v>112000</v>
      </c>
      <c r="Q855">
        <v>70.25</v>
      </c>
      <c r="R855" t="s">
        <v>29</v>
      </c>
      <c r="S855" t="s">
        <v>129</v>
      </c>
      <c r="T855">
        <f t="shared" si="52"/>
        <v>112000</v>
      </c>
      <c r="U855" t="str">
        <f t="shared" si="53"/>
        <v>24+ Months</v>
      </c>
    </row>
    <row r="856" spans="1:21" hidden="1">
      <c r="A856" t="s">
        <v>1267</v>
      </c>
      <c r="B856" t="s">
        <v>369</v>
      </c>
      <c r="C856" s="2" t="s">
        <v>277</v>
      </c>
      <c r="D856" s="2" t="str">
        <f t="shared" si="54"/>
        <v>John Williams</v>
      </c>
      <c r="E856">
        <v>49</v>
      </c>
      <c r="F856" s="3" t="str">
        <f t="shared" si="55"/>
        <v>40-49</v>
      </c>
      <c r="G856" t="s">
        <v>34</v>
      </c>
      <c r="H856" t="s">
        <v>43</v>
      </c>
      <c r="I856" t="s">
        <v>36</v>
      </c>
      <c r="J856">
        <v>4</v>
      </c>
      <c r="K856" t="s">
        <v>155</v>
      </c>
      <c r="L856">
        <v>28</v>
      </c>
      <c r="M856" t="s">
        <v>78</v>
      </c>
      <c r="N856">
        <v>24000</v>
      </c>
      <c r="O856">
        <v>6</v>
      </c>
      <c r="P856">
        <v>144000</v>
      </c>
      <c r="Q856">
        <v>36.54</v>
      </c>
      <c r="R856" t="s">
        <v>29</v>
      </c>
      <c r="S856" t="s">
        <v>129</v>
      </c>
      <c r="T856">
        <f t="shared" si="52"/>
        <v>144000</v>
      </c>
      <c r="U856" t="str">
        <f t="shared" si="53"/>
        <v>24+ Months</v>
      </c>
    </row>
    <row r="857" spans="1:21">
      <c r="A857" t="s">
        <v>1268</v>
      </c>
      <c r="B857" t="s">
        <v>345</v>
      </c>
      <c r="C857" s="2" t="s">
        <v>1269</v>
      </c>
      <c r="D857" s="2" t="str">
        <f t="shared" si="54"/>
        <v>Michael Santana</v>
      </c>
      <c r="E857">
        <v>50</v>
      </c>
      <c r="F857" s="3" t="str">
        <f t="shared" si="55"/>
        <v>50-59</v>
      </c>
      <c r="G857" t="s">
        <v>102</v>
      </c>
      <c r="H857" t="s">
        <v>35</v>
      </c>
      <c r="I857" t="s">
        <v>26</v>
      </c>
      <c r="J857">
        <v>4</v>
      </c>
      <c r="K857" t="s">
        <v>155</v>
      </c>
      <c r="L857">
        <v>34</v>
      </c>
      <c r="M857" t="s">
        <v>108</v>
      </c>
      <c r="N857">
        <v>1000</v>
      </c>
      <c r="O857">
        <v>1</v>
      </c>
      <c r="P857">
        <v>1000</v>
      </c>
      <c r="Q857">
        <v>177.53</v>
      </c>
      <c r="R857" t="s">
        <v>46</v>
      </c>
      <c r="S857" t="s">
        <v>47</v>
      </c>
      <c r="T857">
        <f t="shared" si="52"/>
        <v>0</v>
      </c>
      <c r="U857" t="str">
        <f t="shared" si="53"/>
        <v>24+ Months</v>
      </c>
    </row>
    <row r="858" spans="1:21" hidden="1">
      <c r="A858" t="s">
        <v>1270</v>
      </c>
      <c r="B858" t="s">
        <v>115</v>
      </c>
      <c r="C858" s="2" t="s">
        <v>1271</v>
      </c>
      <c r="D858" s="2" t="str">
        <f t="shared" si="54"/>
        <v>Abubakar Bullock</v>
      </c>
      <c r="E858">
        <v>31</v>
      </c>
      <c r="F858" s="3" t="str">
        <f t="shared" si="55"/>
        <v>30-39</v>
      </c>
      <c r="G858" t="s">
        <v>106</v>
      </c>
      <c r="H858" t="s">
        <v>35</v>
      </c>
      <c r="I858" t="s">
        <v>36</v>
      </c>
      <c r="J858">
        <v>3</v>
      </c>
      <c r="K858" t="s">
        <v>62</v>
      </c>
      <c r="L858">
        <v>38</v>
      </c>
      <c r="M858" t="s">
        <v>49</v>
      </c>
      <c r="N858">
        <v>500</v>
      </c>
      <c r="O858">
        <v>1</v>
      </c>
      <c r="P858">
        <v>500</v>
      </c>
      <c r="Q858">
        <v>119.04</v>
      </c>
      <c r="R858" t="s">
        <v>29</v>
      </c>
      <c r="S858" t="s">
        <v>97</v>
      </c>
      <c r="T858">
        <f t="shared" si="52"/>
        <v>500</v>
      </c>
      <c r="U858" t="str">
        <f t="shared" si="53"/>
        <v>24+ Months</v>
      </c>
    </row>
    <row r="859" spans="1:21" hidden="1">
      <c r="A859" t="s">
        <v>1272</v>
      </c>
      <c r="B859" t="s">
        <v>115</v>
      </c>
      <c r="C859" s="2" t="s">
        <v>1271</v>
      </c>
      <c r="D859" s="2" t="str">
        <f t="shared" si="54"/>
        <v>Abubakar Bullock</v>
      </c>
      <c r="E859">
        <v>31</v>
      </c>
      <c r="F859" s="3" t="str">
        <f t="shared" si="55"/>
        <v>30-39</v>
      </c>
      <c r="G859" t="s">
        <v>106</v>
      </c>
      <c r="H859" t="s">
        <v>25</v>
      </c>
      <c r="I859" t="s">
        <v>36</v>
      </c>
      <c r="J859">
        <v>3</v>
      </c>
      <c r="K859" t="s">
        <v>62</v>
      </c>
      <c r="L859">
        <v>38</v>
      </c>
      <c r="M859" t="s">
        <v>63</v>
      </c>
      <c r="N859">
        <v>9000</v>
      </c>
      <c r="O859">
        <v>20</v>
      </c>
      <c r="P859">
        <v>180000</v>
      </c>
      <c r="Q859">
        <v>193.97</v>
      </c>
      <c r="R859" t="s">
        <v>29</v>
      </c>
      <c r="S859" t="s">
        <v>97</v>
      </c>
      <c r="T859">
        <f t="shared" si="52"/>
        <v>180000</v>
      </c>
      <c r="U859" t="str">
        <f t="shared" si="53"/>
        <v>24+ Months</v>
      </c>
    </row>
    <row r="860" spans="1:21">
      <c r="A860" t="s">
        <v>1273</v>
      </c>
      <c r="B860" t="s">
        <v>182</v>
      </c>
      <c r="C860" s="2" t="s">
        <v>640</v>
      </c>
      <c r="D860" s="2" t="str">
        <f t="shared" si="54"/>
        <v>Alabo Young</v>
      </c>
      <c r="E860">
        <v>57</v>
      </c>
      <c r="F860" s="3" t="str">
        <f t="shared" si="55"/>
        <v>50-59</v>
      </c>
      <c r="G860" t="s">
        <v>194</v>
      </c>
      <c r="H860" t="s">
        <v>51</v>
      </c>
      <c r="I860" t="s">
        <v>26</v>
      </c>
      <c r="J860">
        <v>3</v>
      </c>
      <c r="K860" t="s">
        <v>62</v>
      </c>
      <c r="L860">
        <v>56</v>
      </c>
      <c r="M860" t="s">
        <v>78</v>
      </c>
      <c r="N860">
        <v>24000</v>
      </c>
      <c r="O860">
        <v>13</v>
      </c>
      <c r="P860">
        <v>312000</v>
      </c>
      <c r="Q860">
        <v>190.4</v>
      </c>
      <c r="R860" t="s">
        <v>46</v>
      </c>
      <c r="S860" t="s">
        <v>47</v>
      </c>
      <c r="T860">
        <f t="shared" si="52"/>
        <v>0</v>
      </c>
      <c r="U860" t="str">
        <f t="shared" si="53"/>
        <v>24+ Months</v>
      </c>
    </row>
    <row r="861" spans="1:21" hidden="1">
      <c r="A861" t="s">
        <v>1274</v>
      </c>
      <c r="B861" t="s">
        <v>219</v>
      </c>
      <c r="C861" s="2" t="s">
        <v>1275</v>
      </c>
      <c r="D861" s="2" t="str">
        <f t="shared" si="54"/>
        <v>Chinedu Ramos</v>
      </c>
      <c r="E861">
        <v>67</v>
      </c>
      <c r="F861" s="3" t="str">
        <f t="shared" si="55"/>
        <v>60-69</v>
      </c>
      <c r="G861" t="s">
        <v>197</v>
      </c>
      <c r="H861" t="s">
        <v>35</v>
      </c>
      <c r="I861" t="s">
        <v>26</v>
      </c>
      <c r="J861">
        <v>1</v>
      </c>
      <c r="K861" t="s">
        <v>44</v>
      </c>
      <c r="L861">
        <v>16</v>
      </c>
      <c r="M861" t="s">
        <v>113</v>
      </c>
      <c r="N861">
        <v>7500</v>
      </c>
      <c r="O861">
        <v>5</v>
      </c>
      <c r="P861">
        <v>37500</v>
      </c>
      <c r="Q861">
        <v>57.34</v>
      </c>
      <c r="R861" t="s">
        <v>29</v>
      </c>
      <c r="S861" t="s">
        <v>362</v>
      </c>
      <c r="T861">
        <f t="shared" si="52"/>
        <v>37500</v>
      </c>
      <c r="U861" t="str">
        <f t="shared" si="53"/>
        <v>13-24 Months</v>
      </c>
    </row>
    <row r="862" spans="1:21" hidden="1">
      <c r="A862" t="s">
        <v>1276</v>
      </c>
      <c r="B862" t="s">
        <v>80</v>
      </c>
      <c r="C862" s="2" t="s">
        <v>1277</v>
      </c>
      <c r="D862" s="2" t="str">
        <f t="shared" si="54"/>
        <v>Ifeanyi Zimmerman</v>
      </c>
      <c r="E862">
        <v>54</v>
      </c>
      <c r="F862" s="3" t="str">
        <f t="shared" si="55"/>
        <v>50-59</v>
      </c>
      <c r="G862" t="s">
        <v>117</v>
      </c>
      <c r="H862" t="s">
        <v>43</v>
      </c>
      <c r="I862" t="s">
        <v>36</v>
      </c>
      <c r="J862">
        <v>5</v>
      </c>
      <c r="K862" t="s">
        <v>68</v>
      </c>
      <c r="L862">
        <v>48</v>
      </c>
      <c r="M862" t="s">
        <v>91</v>
      </c>
      <c r="N862">
        <v>14500</v>
      </c>
      <c r="O862">
        <v>13</v>
      </c>
      <c r="P862">
        <v>188500</v>
      </c>
      <c r="Q862">
        <v>98.18</v>
      </c>
      <c r="R862" t="s">
        <v>29</v>
      </c>
      <c r="S862" t="s">
        <v>393</v>
      </c>
      <c r="T862">
        <f t="shared" si="52"/>
        <v>188500</v>
      </c>
      <c r="U862" t="str">
        <f t="shared" si="53"/>
        <v>24+ Months</v>
      </c>
    </row>
    <row r="863" spans="1:21">
      <c r="A863" t="s">
        <v>1278</v>
      </c>
      <c r="B863" t="s">
        <v>369</v>
      </c>
      <c r="C863" s="2" t="s">
        <v>253</v>
      </c>
      <c r="D863" s="2" t="str">
        <f t="shared" si="54"/>
        <v>John Carter</v>
      </c>
      <c r="E863">
        <v>50</v>
      </c>
      <c r="F863" s="3" t="str">
        <f t="shared" si="55"/>
        <v>50-59</v>
      </c>
      <c r="G863" t="s">
        <v>24</v>
      </c>
      <c r="H863" t="s">
        <v>35</v>
      </c>
      <c r="I863" t="s">
        <v>26</v>
      </c>
      <c r="J863">
        <v>3</v>
      </c>
      <c r="K863" t="s">
        <v>62</v>
      </c>
      <c r="L863">
        <v>49</v>
      </c>
      <c r="M863" t="s">
        <v>137</v>
      </c>
      <c r="N863">
        <v>900</v>
      </c>
      <c r="O863">
        <v>15</v>
      </c>
      <c r="P863">
        <v>13500</v>
      </c>
      <c r="Q863">
        <v>102.91</v>
      </c>
      <c r="R863" t="s">
        <v>46</v>
      </c>
      <c r="S863" t="s">
        <v>47</v>
      </c>
      <c r="T863">
        <f t="shared" si="52"/>
        <v>0</v>
      </c>
      <c r="U863" t="str">
        <f t="shared" si="53"/>
        <v>24+ Months</v>
      </c>
    </row>
    <row r="864" spans="1:21">
      <c r="A864" t="s">
        <v>1279</v>
      </c>
      <c r="B864" t="s">
        <v>369</v>
      </c>
      <c r="C864" s="2" t="s">
        <v>253</v>
      </c>
      <c r="D864" s="2" t="str">
        <f t="shared" si="54"/>
        <v>John Carter</v>
      </c>
      <c r="E864">
        <v>50</v>
      </c>
      <c r="F864" s="3" t="str">
        <f t="shared" si="55"/>
        <v>50-59</v>
      </c>
      <c r="G864" t="s">
        <v>24</v>
      </c>
      <c r="H864" t="s">
        <v>51</v>
      </c>
      <c r="I864" t="s">
        <v>26</v>
      </c>
      <c r="J864">
        <v>3</v>
      </c>
      <c r="K864" t="s">
        <v>62</v>
      </c>
      <c r="L864">
        <v>49</v>
      </c>
      <c r="M864" t="s">
        <v>45</v>
      </c>
      <c r="N864">
        <v>20000</v>
      </c>
      <c r="O864">
        <v>5</v>
      </c>
      <c r="P864">
        <v>100000</v>
      </c>
      <c r="Q864">
        <v>129.69999999999999</v>
      </c>
      <c r="R864" t="s">
        <v>46</v>
      </c>
      <c r="S864" t="s">
        <v>47</v>
      </c>
      <c r="T864">
        <f t="shared" si="52"/>
        <v>0</v>
      </c>
      <c r="U864" t="str">
        <f t="shared" si="53"/>
        <v>24+ Months</v>
      </c>
    </row>
    <row r="865" spans="1:21">
      <c r="A865" t="s">
        <v>1280</v>
      </c>
      <c r="B865" t="s">
        <v>232</v>
      </c>
      <c r="C865" s="2" t="s">
        <v>277</v>
      </c>
      <c r="D865" s="2" t="str">
        <f t="shared" si="54"/>
        <v>Grace Williams</v>
      </c>
      <c r="E865">
        <v>26</v>
      </c>
      <c r="F865" s="3" t="str">
        <f t="shared" si="55"/>
        <v>20-29</v>
      </c>
      <c r="G865" t="s">
        <v>136</v>
      </c>
      <c r="H865" t="s">
        <v>43</v>
      </c>
      <c r="I865" t="s">
        <v>36</v>
      </c>
      <c r="J865">
        <v>4</v>
      </c>
      <c r="K865" t="s">
        <v>155</v>
      </c>
      <c r="L865">
        <v>28</v>
      </c>
      <c r="M865" t="s">
        <v>91</v>
      </c>
      <c r="N865">
        <v>14500</v>
      </c>
      <c r="O865">
        <v>10</v>
      </c>
      <c r="P865">
        <v>145000</v>
      </c>
      <c r="Q865">
        <v>104.86</v>
      </c>
      <c r="R865" t="s">
        <v>46</v>
      </c>
      <c r="S865" t="s">
        <v>47</v>
      </c>
      <c r="T865">
        <f t="shared" si="52"/>
        <v>0</v>
      </c>
      <c r="U865" t="str">
        <f t="shared" si="53"/>
        <v>24+ Months</v>
      </c>
    </row>
    <row r="866" spans="1:21" hidden="1">
      <c r="A866" t="s">
        <v>1281</v>
      </c>
      <c r="B866" t="s">
        <v>447</v>
      </c>
      <c r="C866" s="2" t="s">
        <v>158</v>
      </c>
      <c r="D866" s="2" t="str">
        <f t="shared" si="54"/>
        <v>Sade Johnson</v>
      </c>
      <c r="E866">
        <v>25</v>
      </c>
      <c r="F866" s="3" t="str">
        <f t="shared" si="55"/>
        <v>20-29</v>
      </c>
      <c r="G866" t="s">
        <v>175</v>
      </c>
      <c r="H866" t="s">
        <v>43</v>
      </c>
      <c r="I866" t="s">
        <v>26</v>
      </c>
      <c r="J866">
        <v>4</v>
      </c>
      <c r="K866" t="s">
        <v>155</v>
      </c>
      <c r="L866">
        <v>33</v>
      </c>
      <c r="M866" t="s">
        <v>45</v>
      </c>
      <c r="N866">
        <v>20000</v>
      </c>
      <c r="O866">
        <v>1</v>
      </c>
      <c r="P866">
        <v>20000</v>
      </c>
      <c r="Q866">
        <v>153.85</v>
      </c>
      <c r="R866" t="s">
        <v>29</v>
      </c>
      <c r="S866" t="s">
        <v>393</v>
      </c>
      <c r="T866">
        <f t="shared" si="52"/>
        <v>20000</v>
      </c>
      <c r="U866" t="str">
        <f t="shared" si="53"/>
        <v>24+ Months</v>
      </c>
    </row>
    <row r="867" spans="1:21" hidden="1">
      <c r="A867" t="s">
        <v>1282</v>
      </c>
      <c r="B867" t="s">
        <v>447</v>
      </c>
      <c r="C867" s="2" t="s">
        <v>158</v>
      </c>
      <c r="D867" s="2" t="str">
        <f t="shared" si="54"/>
        <v>Sade Johnson</v>
      </c>
      <c r="E867">
        <v>25</v>
      </c>
      <c r="F867" s="3" t="str">
        <f t="shared" si="55"/>
        <v>20-29</v>
      </c>
      <c r="G867" t="s">
        <v>175</v>
      </c>
      <c r="H867" t="s">
        <v>25</v>
      </c>
      <c r="I867" t="s">
        <v>26</v>
      </c>
      <c r="J867">
        <v>4</v>
      </c>
      <c r="K867" t="s">
        <v>155</v>
      </c>
      <c r="L867">
        <v>33</v>
      </c>
      <c r="M867" t="s">
        <v>73</v>
      </c>
      <c r="N867">
        <v>16000</v>
      </c>
      <c r="O867">
        <v>15</v>
      </c>
      <c r="P867">
        <v>240000</v>
      </c>
      <c r="Q867">
        <v>148.22999999999999</v>
      </c>
      <c r="R867" t="s">
        <v>29</v>
      </c>
      <c r="S867" t="s">
        <v>393</v>
      </c>
      <c r="T867">
        <f t="shared" si="52"/>
        <v>240000</v>
      </c>
      <c r="U867" t="str">
        <f t="shared" si="53"/>
        <v>24+ Months</v>
      </c>
    </row>
    <row r="868" spans="1:21" hidden="1">
      <c r="A868" t="s">
        <v>1283</v>
      </c>
      <c r="B868" t="s">
        <v>447</v>
      </c>
      <c r="C868" s="2" t="s">
        <v>158</v>
      </c>
      <c r="D868" s="2" t="str">
        <f t="shared" si="54"/>
        <v>Sade Johnson</v>
      </c>
      <c r="E868">
        <v>25</v>
      </c>
      <c r="F868" s="3" t="str">
        <f t="shared" si="55"/>
        <v>20-29</v>
      </c>
      <c r="G868" t="s">
        <v>175</v>
      </c>
      <c r="H868" t="s">
        <v>35</v>
      </c>
      <c r="I868" t="s">
        <v>26</v>
      </c>
      <c r="J868">
        <v>4</v>
      </c>
      <c r="K868" t="s">
        <v>155</v>
      </c>
      <c r="L868">
        <v>33</v>
      </c>
      <c r="M868" t="s">
        <v>227</v>
      </c>
      <c r="N868">
        <v>600</v>
      </c>
      <c r="O868">
        <v>13</v>
      </c>
      <c r="P868">
        <v>7800</v>
      </c>
      <c r="Q868">
        <v>157.34</v>
      </c>
      <c r="R868" t="s">
        <v>29</v>
      </c>
      <c r="S868" t="s">
        <v>393</v>
      </c>
      <c r="T868">
        <f t="shared" si="52"/>
        <v>7800</v>
      </c>
      <c r="U868" t="str">
        <f t="shared" si="53"/>
        <v>24+ Months</v>
      </c>
    </row>
    <row r="869" spans="1:21">
      <c r="A869" t="s">
        <v>1284</v>
      </c>
      <c r="B869" t="s">
        <v>404</v>
      </c>
      <c r="C869" s="2" t="s">
        <v>135</v>
      </c>
      <c r="D869" s="2" t="str">
        <f t="shared" si="54"/>
        <v>Bola Wright</v>
      </c>
      <c r="E869">
        <v>26</v>
      </c>
      <c r="F869" s="3" t="str">
        <f t="shared" si="55"/>
        <v>20-29</v>
      </c>
      <c r="G869" t="s">
        <v>151</v>
      </c>
      <c r="H869" t="s">
        <v>43</v>
      </c>
      <c r="I869" t="s">
        <v>36</v>
      </c>
      <c r="J869">
        <v>4</v>
      </c>
      <c r="K869" t="s">
        <v>155</v>
      </c>
      <c r="L869">
        <v>21</v>
      </c>
      <c r="M869" t="s">
        <v>91</v>
      </c>
      <c r="N869">
        <v>14500</v>
      </c>
      <c r="O869">
        <v>20</v>
      </c>
      <c r="P869">
        <v>290000</v>
      </c>
      <c r="Q869">
        <v>37.42</v>
      </c>
      <c r="R869" t="s">
        <v>46</v>
      </c>
      <c r="S869" t="s">
        <v>47</v>
      </c>
      <c r="T869">
        <f t="shared" si="52"/>
        <v>0</v>
      </c>
      <c r="U869" t="str">
        <f t="shared" si="53"/>
        <v>13-24 Months</v>
      </c>
    </row>
    <row r="870" spans="1:21">
      <c r="A870" t="s">
        <v>1285</v>
      </c>
      <c r="B870" t="s">
        <v>404</v>
      </c>
      <c r="C870" s="2" t="s">
        <v>135</v>
      </c>
      <c r="D870" s="2" t="str">
        <f t="shared" si="54"/>
        <v>Bola Wright</v>
      </c>
      <c r="E870">
        <v>26</v>
      </c>
      <c r="F870" s="3" t="str">
        <f t="shared" si="55"/>
        <v>20-29</v>
      </c>
      <c r="G870" t="s">
        <v>151</v>
      </c>
      <c r="H870" t="s">
        <v>51</v>
      </c>
      <c r="I870" t="s">
        <v>36</v>
      </c>
      <c r="J870">
        <v>4</v>
      </c>
      <c r="K870" t="s">
        <v>155</v>
      </c>
      <c r="L870">
        <v>21</v>
      </c>
      <c r="M870" t="s">
        <v>82</v>
      </c>
      <c r="N870">
        <v>30000</v>
      </c>
      <c r="O870">
        <v>4</v>
      </c>
      <c r="P870">
        <v>120000</v>
      </c>
      <c r="Q870">
        <v>174.39</v>
      </c>
      <c r="R870" t="s">
        <v>46</v>
      </c>
      <c r="S870" t="s">
        <v>47</v>
      </c>
      <c r="T870">
        <f t="shared" si="52"/>
        <v>0</v>
      </c>
      <c r="U870" t="str">
        <f t="shared" si="53"/>
        <v>13-24 Months</v>
      </c>
    </row>
    <row r="871" spans="1:21">
      <c r="A871" t="s">
        <v>1286</v>
      </c>
      <c r="B871" t="s">
        <v>75</v>
      </c>
      <c r="C871" s="2" t="s">
        <v>1287</v>
      </c>
      <c r="D871" s="2" t="str">
        <f t="shared" si="54"/>
        <v>Boma Shah</v>
      </c>
      <c r="E871">
        <v>18</v>
      </c>
      <c r="F871" s="3" t="str">
        <f t="shared" si="55"/>
        <v>10-19</v>
      </c>
      <c r="G871" t="s">
        <v>628</v>
      </c>
      <c r="H871" t="s">
        <v>35</v>
      </c>
      <c r="I871" t="s">
        <v>36</v>
      </c>
      <c r="J871">
        <v>2</v>
      </c>
      <c r="K871" t="s">
        <v>27</v>
      </c>
      <c r="L871">
        <v>8</v>
      </c>
      <c r="M871" t="s">
        <v>264</v>
      </c>
      <c r="N871">
        <v>6500</v>
      </c>
      <c r="O871">
        <v>20</v>
      </c>
      <c r="P871">
        <v>130000</v>
      </c>
      <c r="Q871">
        <v>60.91</v>
      </c>
      <c r="R871" t="s">
        <v>46</v>
      </c>
      <c r="S871" t="s">
        <v>47</v>
      </c>
      <c r="T871">
        <f t="shared" si="52"/>
        <v>0</v>
      </c>
      <c r="U871" t="str">
        <f t="shared" si="53"/>
        <v>7-12 Months</v>
      </c>
    </row>
    <row r="872" spans="1:21" hidden="1">
      <c r="A872" t="s">
        <v>1288</v>
      </c>
      <c r="B872" t="s">
        <v>54</v>
      </c>
      <c r="C872" s="2" t="s">
        <v>1289</v>
      </c>
      <c r="D872" s="2" t="str">
        <f t="shared" si="54"/>
        <v>Ejiro Wagner</v>
      </c>
      <c r="E872">
        <v>66</v>
      </c>
      <c r="F872" s="3" t="str">
        <f t="shared" si="55"/>
        <v>60-69</v>
      </c>
      <c r="G872" t="s">
        <v>206</v>
      </c>
      <c r="H872" t="s">
        <v>25</v>
      </c>
      <c r="I872" t="s">
        <v>26</v>
      </c>
      <c r="J872">
        <v>1</v>
      </c>
      <c r="K872" t="s">
        <v>44</v>
      </c>
      <c r="L872">
        <v>9</v>
      </c>
      <c r="M872" t="s">
        <v>73</v>
      </c>
      <c r="N872">
        <v>16000</v>
      </c>
      <c r="O872">
        <v>5</v>
      </c>
      <c r="P872">
        <v>80000</v>
      </c>
      <c r="Q872">
        <v>42.24</v>
      </c>
      <c r="R872" t="s">
        <v>29</v>
      </c>
      <c r="S872" t="s">
        <v>38</v>
      </c>
      <c r="T872">
        <f t="shared" si="52"/>
        <v>80000</v>
      </c>
      <c r="U872" t="str">
        <f t="shared" si="53"/>
        <v>7-12 Months</v>
      </c>
    </row>
    <row r="873" spans="1:21" hidden="1">
      <c r="A873" t="s">
        <v>1290</v>
      </c>
      <c r="B873" t="s">
        <v>87</v>
      </c>
      <c r="C873" s="2" t="s">
        <v>1291</v>
      </c>
      <c r="D873" s="2" t="str">
        <f t="shared" si="54"/>
        <v>Halima Lambert</v>
      </c>
      <c r="E873">
        <v>71</v>
      </c>
      <c r="F873" s="3" t="str">
        <f t="shared" si="55"/>
        <v>70-79</v>
      </c>
      <c r="G873" t="s">
        <v>111</v>
      </c>
      <c r="H873" t="s">
        <v>51</v>
      </c>
      <c r="I873" t="s">
        <v>26</v>
      </c>
      <c r="J873">
        <v>4</v>
      </c>
      <c r="K873" t="s">
        <v>155</v>
      </c>
      <c r="L873">
        <v>6</v>
      </c>
      <c r="M873" t="s">
        <v>45</v>
      </c>
      <c r="N873">
        <v>20000</v>
      </c>
      <c r="O873">
        <v>15</v>
      </c>
      <c r="P873">
        <v>300000</v>
      </c>
      <c r="Q873">
        <v>180.53</v>
      </c>
      <c r="R873" t="s">
        <v>29</v>
      </c>
      <c r="S873" t="s">
        <v>229</v>
      </c>
      <c r="T873">
        <f t="shared" si="52"/>
        <v>300000</v>
      </c>
      <c r="U873" t="str">
        <f t="shared" si="53"/>
        <v>0-6 Months</v>
      </c>
    </row>
    <row r="874" spans="1:21" hidden="1">
      <c r="A874" t="s">
        <v>1292</v>
      </c>
      <c r="B874" t="s">
        <v>232</v>
      </c>
      <c r="C874" s="2" t="s">
        <v>1293</v>
      </c>
      <c r="D874" s="2" t="str">
        <f t="shared" si="54"/>
        <v>Grace Hudson</v>
      </c>
      <c r="E874">
        <v>76</v>
      </c>
      <c r="F874" s="3" t="str">
        <f t="shared" si="55"/>
        <v>70-79</v>
      </c>
      <c r="G874" t="s">
        <v>159</v>
      </c>
      <c r="H874" t="s">
        <v>51</v>
      </c>
      <c r="I874" t="s">
        <v>36</v>
      </c>
      <c r="J874">
        <v>2</v>
      </c>
      <c r="K874" t="s">
        <v>27</v>
      </c>
      <c r="L874">
        <v>38</v>
      </c>
      <c r="M874" t="s">
        <v>52</v>
      </c>
      <c r="N874">
        <v>9000</v>
      </c>
      <c r="O874">
        <v>14</v>
      </c>
      <c r="P874">
        <v>126000</v>
      </c>
      <c r="Q874">
        <v>20.98</v>
      </c>
      <c r="R874" t="s">
        <v>29</v>
      </c>
      <c r="S874" t="s">
        <v>38</v>
      </c>
      <c r="T874">
        <f t="shared" si="52"/>
        <v>126000</v>
      </c>
      <c r="U874" t="str">
        <f t="shared" si="53"/>
        <v>24+ Months</v>
      </c>
    </row>
    <row r="875" spans="1:21" hidden="1">
      <c r="A875" t="s">
        <v>1294</v>
      </c>
      <c r="B875" t="s">
        <v>232</v>
      </c>
      <c r="C875" s="2" t="s">
        <v>1293</v>
      </c>
      <c r="D875" s="2" t="str">
        <f t="shared" si="54"/>
        <v>Grace Hudson</v>
      </c>
      <c r="E875">
        <v>76</v>
      </c>
      <c r="F875" s="3" t="str">
        <f t="shared" si="55"/>
        <v>70-79</v>
      </c>
      <c r="G875" t="s">
        <v>159</v>
      </c>
      <c r="H875" t="s">
        <v>25</v>
      </c>
      <c r="I875" t="s">
        <v>36</v>
      </c>
      <c r="J875">
        <v>2</v>
      </c>
      <c r="K875" t="s">
        <v>27</v>
      </c>
      <c r="L875">
        <v>38</v>
      </c>
      <c r="M875" t="s">
        <v>28</v>
      </c>
      <c r="N875">
        <v>35000</v>
      </c>
      <c r="O875">
        <v>19</v>
      </c>
      <c r="P875">
        <v>665000</v>
      </c>
      <c r="Q875">
        <v>169.8</v>
      </c>
      <c r="R875" t="s">
        <v>29</v>
      </c>
      <c r="S875" t="s">
        <v>38</v>
      </c>
      <c r="T875">
        <f t="shared" si="52"/>
        <v>665000</v>
      </c>
      <c r="U875" t="str">
        <f t="shared" si="53"/>
        <v>24+ Months</v>
      </c>
    </row>
    <row r="876" spans="1:21">
      <c r="A876" t="s">
        <v>1295</v>
      </c>
      <c r="B876" t="s">
        <v>115</v>
      </c>
      <c r="C876" s="2" t="s">
        <v>913</v>
      </c>
      <c r="D876" s="2" t="str">
        <f t="shared" si="54"/>
        <v>Abubakar Ryan</v>
      </c>
      <c r="E876">
        <v>20</v>
      </c>
      <c r="F876" s="3" t="str">
        <f t="shared" si="55"/>
        <v>20-29</v>
      </c>
      <c r="G876" t="s">
        <v>117</v>
      </c>
      <c r="H876" t="s">
        <v>51</v>
      </c>
      <c r="I876" t="s">
        <v>36</v>
      </c>
      <c r="J876">
        <v>2</v>
      </c>
      <c r="K876" t="s">
        <v>27</v>
      </c>
      <c r="L876">
        <v>32</v>
      </c>
      <c r="M876" t="s">
        <v>78</v>
      </c>
      <c r="N876">
        <v>24000</v>
      </c>
      <c r="O876">
        <v>14</v>
      </c>
      <c r="P876">
        <v>336000</v>
      </c>
      <c r="Q876">
        <v>13.17</v>
      </c>
      <c r="R876" t="s">
        <v>46</v>
      </c>
      <c r="S876" t="s">
        <v>47</v>
      </c>
      <c r="T876">
        <f t="shared" si="52"/>
        <v>0</v>
      </c>
      <c r="U876" t="str">
        <f t="shared" si="53"/>
        <v>24+ Months</v>
      </c>
    </row>
    <row r="877" spans="1:21">
      <c r="A877" t="s">
        <v>1296</v>
      </c>
      <c r="B877" t="s">
        <v>115</v>
      </c>
      <c r="C877" s="2" t="s">
        <v>913</v>
      </c>
      <c r="D877" s="2" t="str">
        <f t="shared" si="54"/>
        <v>Abubakar Ryan</v>
      </c>
      <c r="E877">
        <v>20</v>
      </c>
      <c r="F877" s="3" t="str">
        <f t="shared" si="55"/>
        <v>20-29</v>
      </c>
      <c r="G877" t="s">
        <v>117</v>
      </c>
      <c r="H877" t="s">
        <v>25</v>
      </c>
      <c r="I877" t="s">
        <v>36</v>
      </c>
      <c r="J877">
        <v>2</v>
      </c>
      <c r="K877" t="s">
        <v>27</v>
      </c>
      <c r="L877">
        <v>32</v>
      </c>
      <c r="M877" t="s">
        <v>28</v>
      </c>
      <c r="N877">
        <v>35000</v>
      </c>
      <c r="O877">
        <v>20</v>
      </c>
      <c r="P877">
        <v>700000</v>
      </c>
      <c r="Q877">
        <v>23.83</v>
      </c>
      <c r="R877" t="s">
        <v>46</v>
      </c>
      <c r="S877" t="s">
        <v>47</v>
      </c>
      <c r="T877">
        <f t="shared" si="52"/>
        <v>0</v>
      </c>
      <c r="U877" t="str">
        <f t="shared" si="53"/>
        <v>24+ Months</v>
      </c>
    </row>
    <row r="878" spans="1:21">
      <c r="A878" t="s">
        <v>1297</v>
      </c>
      <c r="B878" t="s">
        <v>115</v>
      </c>
      <c r="C878" s="2" t="s">
        <v>913</v>
      </c>
      <c r="D878" s="2" t="str">
        <f t="shared" si="54"/>
        <v>Abubakar Ryan</v>
      </c>
      <c r="E878">
        <v>20</v>
      </c>
      <c r="F878" s="3" t="str">
        <f t="shared" si="55"/>
        <v>20-29</v>
      </c>
      <c r="G878" t="s">
        <v>117</v>
      </c>
      <c r="H878" t="s">
        <v>43</v>
      </c>
      <c r="I878" t="s">
        <v>36</v>
      </c>
      <c r="J878">
        <v>2</v>
      </c>
      <c r="K878" t="s">
        <v>27</v>
      </c>
      <c r="L878">
        <v>32</v>
      </c>
      <c r="M878" t="s">
        <v>156</v>
      </c>
      <c r="N878">
        <v>25000</v>
      </c>
      <c r="O878">
        <v>14</v>
      </c>
      <c r="P878">
        <v>350000</v>
      </c>
      <c r="Q878">
        <v>89.94</v>
      </c>
      <c r="R878" t="s">
        <v>46</v>
      </c>
      <c r="S878" t="s">
        <v>47</v>
      </c>
      <c r="T878">
        <f t="shared" si="52"/>
        <v>0</v>
      </c>
      <c r="U878" t="str">
        <f t="shared" si="53"/>
        <v>24+ Months</v>
      </c>
    </row>
    <row r="879" spans="1:21" hidden="1">
      <c r="A879" t="s">
        <v>1298</v>
      </c>
      <c r="B879" t="s">
        <v>490</v>
      </c>
      <c r="C879" s="2" t="s">
        <v>1299</v>
      </c>
      <c r="D879" s="2" t="str">
        <f t="shared" si="54"/>
        <v>Funke Chung</v>
      </c>
      <c r="E879">
        <v>36</v>
      </c>
      <c r="F879" s="3" t="str">
        <f t="shared" si="55"/>
        <v>30-39</v>
      </c>
      <c r="G879" t="s">
        <v>136</v>
      </c>
      <c r="H879" t="s">
        <v>43</v>
      </c>
      <c r="I879" t="s">
        <v>26</v>
      </c>
      <c r="J879">
        <v>4</v>
      </c>
      <c r="K879" t="s">
        <v>155</v>
      </c>
      <c r="L879">
        <v>31</v>
      </c>
      <c r="M879" t="s">
        <v>82</v>
      </c>
      <c r="N879">
        <v>30000</v>
      </c>
      <c r="O879">
        <v>13</v>
      </c>
      <c r="P879">
        <v>390000</v>
      </c>
      <c r="Q879">
        <v>176.69</v>
      </c>
      <c r="R879" t="s">
        <v>29</v>
      </c>
      <c r="S879" t="s">
        <v>362</v>
      </c>
      <c r="T879">
        <f t="shared" si="52"/>
        <v>390000</v>
      </c>
      <c r="U879" t="str">
        <f t="shared" si="53"/>
        <v>24+ Months</v>
      </c>
    </row>
    <row r="880" spans="1:21" hidden="1">
      <c r="A880" t="s">
        <v>1300</v>
      </c>
      <c r="B880" t="s">
        <v>490</v>
      </c>
      <c r="C880" s="2" t="s">
        <v>1299</v>
      </c>
      <c r="D880" s="2" t="str">
        <f t="shared" si="54"/>
        <v>Funke Chung</v>
      </c>
      <c r="E880">
        <v>36</v>
      </c>
      <c r="F880" s="3" t="str">
        <f t="shared" si="55"/>
        <v>30-39</v>
      </c>
      <c r="G880" t="s">
        <v>136</v>
      </c>
      <c r="H880" t="s">
        <v>35</v>
      </c>
      <c r="I880" t="s">
        <v>26</v>
      </c>
      <c r="J880">
        <v>4</v>
      </c>
      <c r="K880" t="s">
        <v>155</v>
      </c>
      <c r="L880">
        <v>31</v>
      </c>
      <c r="M880" t="s">
        <v>113</v>
      </c>
      <c r="N880">
        <v>7500</v>
      </c>
      <c r="O880">
        <v>12</v>
      </c>
      <c r="P880">
        <v>90000</v>
      </c>
      <c r="Q880">
        <v>166.7</v>
      </c>
      <c r="R880" t="s">
        <v>29</v>
      </c>
      <c r="S880" t="s">
        <v>362</v>
      </c>
      <c r="T880">
        <f t="shared" si="52"/>
        <v>90000</v>
      </c>
      <c r="U880" t="str">
        <f t="shared" si="53"/>
        <v>24+ Months</v>
      </c>
    </row>
    <row r="881" spans="1:21" hidden="1">
      <c r="A881" t="s">
        <v>1301</v>
      </c>
      <c r="B881" t="s">
        <v>490</v>
      </c>
      <c r="C881" s="2" t="s">
        <v>1299</v>
      </c>
      <c r="D881" s="2" t="str">
        <f t="shared" si="54"/>
        <v>Funke Chung</v>
      </c>
      <c r="E881">
        <v>36</v>
      </c>
      <c r="F881" s="3" t="str">
        <f t="shared" si="55"/>
        <v>30-39</v>
      </c>
      <c r="G881" t="s">
        <v>136</v>
      </c>
      <c r="H881" t="s">
        <v>25</v>
      </c>
      <c r="I881" t="s">
        <v>26</v>
      </c>
      <c r="J881">
        <v>4</v>
      </c>
      <c r="K881" t="s">
        <v>155</v>
      </c>
      <c r="L881">
        <v>31</v>
      </c>
      <c r="M881" t="s">
        <v>28</v>
      </c>
      <c r="N881">
        <v>35000</v>
      </c>
      <c r="O881">
        <v>6</v>
      </c>
      <c r="P881">
        <v>210000</v>
      </c>
      <c r="Q881">
        <v>160.05000000000001</v>
      </c>
      <c r="R881" t="s">
        <v>29</v>
      </c>
      <c r="S881" t="s">
        <v>362</v>
      </c>
      <c r="T881">
        <f t="shared" si="52"/>
        <v>210000</v>
      </c>
      <c r="U881" t="str">
        <f t="shared" si="53"/>
        <v>24+ Months</v>
      </c>
    </row>
    <row r="882" spans="1:21" hidden="1">
      <c r="A882" t="s">
        <v>1302</v>
      </c>
      <c r="B882" t="s">
        <v>335</v>
      </c>
      <c r="C882" s="2" t="s">
        <v>621</v>
      </c>
      <c r="D882" s="2" t="str">
        <f t="shared" si="54"/>
        <v>Fatima Curtis</v>
      </c>
      <c r="E882">
        <v>52</v>
      </c>
      <c r="F882" s="3" t="str">
        <f t="shared" si="55"/>
        <v>50-59</v>
      </c>
      <c r="G882" t="s">
        <v>415</v>
      </c>
      <c r="H882" t="s">
        <v>35</v>
      </c>
      <c r="I882" t="s">
        <v>36</v>
      </c>
      <c r="J882">
        <v>2</v>
      </c>
      <c r="K882" t="s">
        <v>27</v>
      </c>
      <c r="L882">
        <v>9</v>
      </c>
      <c r="M882" t="s">
        <v>37</v>
      </c>
      <c r="N882">
        <v>5500</v>
      </c>
      <c r="O882">
        <v>7</v>
      </c>
      <c r="P882">
        <v>38500</v>
      </c>
      <c r="Q882">
        <v>61.08</v>
      </c>
      <c r="R882" t="s">
        <v>29</v>
      </c>
      <c r="S882" t="s">
        <v>229</v>
      </c>
      <c r="T882">
        <f t="shared" si="52"/>
        <v>38500</v>
      </c>
      <c r="U882" t="str">
        <f t="shared" si="53"/>
        <v>7-12 Months</v>
      </c>
    </row>
    <row r="883" spans="1:21">
      <c r="A883" t="s">
        <v>1303</v>
      </c>
      <c r="B883" t="s">
        <v>447</v>
      </c>
      <c r="C883" s="2" t="s">
        <v>33</v>
      </c>
      <c r="D883" s="2" t="str">
        <f t="shared" si="54"/>
        <v>Sade Baker</v>
      </c>
      <c r="E883">
        <v>18</v>
      </c>
      <c r="F883" s="3" t="str">
        <f t="shared" si="55"/>
        <v>10-19</v>
      </c>
      <c r="G883" t="s">
        <v>210</v>
      </c>
      <c r="H883" t="s">
        <v>35</v>
      </c>
      <c r="I883" t="s">
        <v>36</v>
      </c>
      <c r="J883">
        <v>2</v>
      </c>
      <c r="K883" t="s">
        <v>27</v>
      </c>
      <c r="L883">
        <v>23</v>
      </c>
      <c r="M883" t="s">
        <v>37</v>
      </c>
      <c r="N883">
        <v>5500</v>
      </c>
      <c r="O883">
        <v>8</v>
      </c>
      <c r="P883">
        <v>44000</v>
      </c>
      <c r="Q883">
        <v>23.24</v>
      </c>
      <c r="R883" t="s">
        <v>46</v>
      </c>
      <c r="S883" t="s">
        <v>47</v>
      </c>
      <c r="T883">
        <f t="shared" si="52"/>
        <v>0</v>
      </c>
      <c r="U883" t="str">
        <f t="shared" si="53"/>
        <v>13-24 Months</v>
      </c>
    </row>
    <row r="884" spans="1:21">
      <c r="A884" t="s">
        <v>1304</v>
      </c>
      <c r="B884" t="s">
        <v>447</v>
      </c>
      <c r="C884" s="2" t="s">
        <v>33</v>
      </c>
      <c r="D884" s="2" t="str">
        <f t="shared" si="54"/>
        <v>Sade Baker</v>
      </c>
      <c r="E884">
        <v>18</v>
      </c>
      <c r="F884" s="3" t="str">
        <f t="shared" si="55"/>
        <v>10-19</v>
      </c>
      <c r="G884" t="s">
        <v>210</v>
      </c>
      <c r="H884" t="s">
        <v>25</v>
      </c>
      <c r="I884" t="s">
        <v>36</v>
      </c>
      <c r="J884">
        <v>2</v>
      </c>
      <c r="K884" t="s">
        <v>27</v>
      </c>
      <c r="L884">
        <v>23</v>
      </c>
      <c r="M884" t="s">
        <v>57</v>
      </c>
      <c r="N884">
        <v>4500</v>
      </c>
      <c r="O884">
        <v>16</v>
      </c>
      <c r="P884">
        <v>72000</v>
      </c>
      <c r="Q884">
        <v>112.62</v>
      </c>
      <c r="R884" t="s">
        <v>46</v>
      </c>
      <c r="S884" t="s">
        <v>47</v>
      </c>
      <c r="T884">
        <f t="shared" si="52"/>
        <v>0</v>
      </c>
      <c r="U884" t="str">
        <f t="shared" si="53"/>
        <v>13-24 Months</v>
      </c>
    </row>
    <row r="885" spans="1:21">
      <c r="A885" t="s">
        <v>1305</v>
      </c>
      <c r="B885" t="s">
        <v>40</v>
      </c>
      <c r="C885" s="2" t="s">
        <v>573</v>
      </c>
      <c r="D885" s="2" t="str">
        <f t="shared" si="54"/>
        <v>Saidu Jackson</v>
      </c>
      <c r="E885">
        <v>59</v>
      </c>
      <c r="F885" s="3" t="str">
        <f t="shared" si="55"/>
        <v>50-59</v>
      </c>
      <c r="G885" t="s">
        <v>210</v>
      </c>
      <c r="H885" t="s">
        <v>51</v>
      </c>
      <c r="I885" t="s">
        <v>26</v>
      </c>
      <c r="J885">
        <v>2</v>
      </c>
      <c r="K885" t="s">
        <v>27</v>
      </c>
      <c r="L885">
        <v>50</v>
      </c>
      <c r="M885" t="s">
        <v>91</v>
      </c>
      <c r="N885">
        <v>14500</v>
      </c>
      <c r="O885">
        <v>4</v>
      </c>
      <c r="P885">
        <v>58000</v>
      </c>
      <c r="Q885">
        <v>159.9</v>
      </c>
      <c r="R885" t="s">
        <v>46</v>
      </c>
      <c r="S885" t="s">
        <v>47</v>
      </c>
      <c r="T885">
        <f t="shared" ref="T885:T948" si="56">IF(R885="Yes",P885,0)</f>
        <v>0</v>
      </c>
      <c r="U885" t="str">
        <f t="shared" ref="U885:U948" si="57">IF(L885&lt;=6,"0-6 Months",
IF(L885&lt;=12,"7-12 Months",
IF(L885&lt;=24,"13-24 Months","24+ Months")))</f>
        <v>24+ Months</v>
      </c>
    </row>
    <row r="886" spans="1:21">
      <c r="A886" t="s">
        <v>1306</v>
      </c>
      <c r="B886" t="s">
        <v>40</v>
      </c>
      <c r="C886" s="2" t="s">
        <v>573</v>
      </c>
      <c r="D886" s="2" t="str">
        <f t="shared" si="54"/>
        <v>Saidu Jackson</v>
      </c>
      <c r="E886">
        <v>59</v>
      </c>
      <c r="F886" s="3" t="str">
        <f t="shared" si="55"/>
        <v>50-59</v>
      </c>
      <c r="G886" t="s">
        <v>210</v>
      </c>
      <c r="H886" t="s">
        <v>43</v>
      </c>
      <c r="I886" t="s">
        <v>26</v>
      </c>
      <c r="J886">
        <v>2</v>
      </c>
      <c r="K886" t="s">
        <v>27</v>
      </c>
      <c r="L886">
        <v>50</v>
      </c>
      <c r="M886" t="s">
        <v>45</v>
      </c>
      <c r="N886">
        <v>20000</v>
      </c>
      <c r="O886">
        <v>20</v>
      </c>
      <c r="P886">
        <v>400000</v>
      </c>
      <c r="Q886">
        <v>156.44</v>
      </c>
      <c r="R886" t="s">
        <v>46</v>
      </c>
      <c r="S886" t="s">
        <v>47</v>
      </c>
      <c r="T886">
        <f t="shared" si="56"/>
        <v>0</v>
      </c>
      <c r="U886" t="str">
        <f t="shared" si="57"/>
        <v>24+ Months</v>
      </c>
    </row>
    <row r="887" spans="1:21">
      <c r="A887" t="s">
        <v>1307</v>
      </c>
      <c r="B887" t="s">
        <v>40</v>
      </c>
      <c r="C887" s="2" t="s">
        <v>573</v>
      </c>
      <c r="D887" s="2" t="str">
        <f t="shared" si="54"/>
        <v>Saidu Jackson</v>
      </c>
      <c r="E887">
        <v>59</v>
      </c>
      <c r="F887" s="3" t="str">
        <f t="shared" si="55"/>
        <v>50-59</v>
      </c>
      <c r="G887" t="s">
        <v>210</v>
      </c>
      <c r="H887" t="s">
        <v>35</v>
      </c>
      <c r="I887" t="s">
        <v>26</v>
      </c>
      <c r="J887">
        <v>2</v>
      </c>
      <c r="K887" t="s">
        <v>27</v>
      </c>
      <c r="L887">
        <v>50</v>
      </c>
      <c r="M887" t="s">
        <v>108</v>
      </c>
      <c r="N887">
        <v>1000</v>
      </c>
      <c r="O887">
        <v>2</v>
      </c>
      <c r="P887">
        <v>2000</v>
      </c>
      <c r="Q887">
        <v>164.81</v>
      </c>
      <c r="R887" t="s">
        <v>46</v>
      </c>
      <c r="S887" t="s">
        <v>47</v>
      </c>
      <c r="T887">
        <f t="shared" si="56"/>
        <v>0</v>
      </c>
      <c r="U887" t="str">
        <f t="shared" si="57"/>
        <v>24+ Months</v>
      </c>
    </row>
    <row r="888" spans="1:21" hidden="1">
      <c r="A888" t="s">
        <v>1308</v>
      </c>
      <c r="B888" t="s">
        <v>345</v>
      </c>
      <c r="C888" s="2" t="s">
        <v>1309</v>
      </c>
      <c r="D888" s="2" t="str">
        <f t="shared" si="54"/>
        <v>Michael Madden</v>
      </c>
      <c r="E888">
        <v>29</v>
      </c>
      <c r="F888" s="3" t="str">
        <f t="shared" si="55"/>
        <v>20-29</v>
      </c>
      <c r="G888" t="s">
        <v>34</v>
      </c>
      <c r="H888" t="s">
        <v>35</v>
      </c>
      <c r="I888" t="s">
        <v>26</v>
      </c>
      <c r="J888">
        <v>3</v>
      </c>
      <c r="K888" t="s">
        <v>62</v>
      </c>
      <c r="L888">
        <v>56</v>
      </c>
      <c r="M888" t="s">
        <v>108</v>
      </c>
      <c r="N888">
        <v>1000</v>
      </c>
      <c r="O888">
        <v>12</v>
      </c>
      <c r="P888">
        <v>12000</v>
      </c>
      <c r="Q888">
        <v>31.28</v>
      </c>
      <c r="R888" t="s">
        <v>29</v>
      </c>
      <c r="S888" t="s">
        <v>129</v>
      </c>
      <c r="T888">
        <f t="shared" si="56"/>
        <v>12000</v>
      </c>
      <c r="U888" t="str">
        <f t="shared" si="57"/>
        <v>24+ Months</v>
      </c>
    </row>
    <row r="889" spans="1:21" hidden="1">
      <c r="A889" t="s">
        <v>1310</v>
      </c>
      <c r="B889" t="s">
        <v>345</v>
      </c>
      <c r="C889" s="2" t="s">
        <v>1309</v>
      </c>
      <c r="D889" s="2" t="str">
        <f t="shared" si="54"/>
        <v>Michael Madden</v>
      </c>
      <c r="E889">
        <v>29</v>
      </c>
      <c r="F889" s="3" t="str">
        <f t="shared" si="55"/>
        <v>20-29</v>
      </c>
      <c r="G889" t="s">
        <v>34</v>
      </c>
      <c r="H889" t="s">
        <v>43</v>
      </c>
      <c r="I889" t="s">
        <v>26</v>
      </c>
      <c r="J889">
        <v>3</v>
      </c>
      <c r="K889" t="s">
        <v>62</v>
      </c>
      <c r="L889">
        <v>56</v>
      </c>
      <c r="M889" t="s">
        <v>156</v>
      </c>
      <c r="N889">
        <v>25000</v>
      </c>
      <c r="O889">
        <v>4</v>
      </c>
      <c r="P889">
        <v>100000</v>
      </c>
      <c r="Q889">
        <v>163.92</v>
      </c>
      <c r="R889" t="s">
        <v>29</v>
      </c>
      <c r="S889" t="s">
        <v>129</v>
      </c>
      <c r="T889">
        <f t="shared" si="56"/>
        <v>100000</v>
      </c>
      <c r="U889" t="str">
        <f t="shared" si="57"/>
        <v>24+ Months</v>
      </c>
    </row>
    <row r="890" spans="1:21" hidden="1">
      <c r="A890" t="s">
        <v>1311</v>
      </c>
      <c r="B890" t="s">
        <v>345</v>
      </c>
      <c r="C890" s="2" t="s">
        <v>1309</v>
      </c>
      <c r="D890" s="2" t="str">
        <f t="shared" si="54"/>
        <v>Michael Madden</v>
      </c>
      <c r="E890">
        <v>29</v>
      </c>
      <c r="F890" s="3" t="str">
        <f t="shared" si="55"/>
        <v>20-29</v>
      </c>
      <c r="G890" t="s">
        <v>34</v>
      </c>
      <c r="H890" t="s">
        <v>25</v>
      </c>
      <c r="I890" t="s">
        <v>26</v>
      </c>
      <c r="J890">
        <v>3</v>
      </c>
      <c r="K890" t="s">
        <v>62</v>
      </c>
      <c r="L890">
        <v>56</v>
      </c>
      <c r="M890" t="s">
        <v>57</v>
      </c>
      <c r="N890">
        <v>4500</v>
      </c>
      <c r="O890">
        <v>14</v>
      </c>
      <c r="P890">
        <v>63000</v>
      </c>
      <c r="Q890">
        <v>88.1</v>
      </c>
      <c r="R890" t="s">
        <v>29</v>
      </c>
      <c r="S890" t="s">
        <v>129</v>
      </c>
      <c r="T890">
        <f t="shared" si="56"/>
        <v>63000</v>
      </c>
      <c r="U890" t="str">
        <f t="shared" si="57"/>
        <v>24+ Months</v>
      </c>
    </row>
    <row r="891" spans="1:21" hidden="1">
      <c r="A891" t="s">
        <v>1312</v>
      </c>
      <c r="B891" t="s">
        <v>126</v>
      </c>
      <c r="C891" s="2" t="s">
        <v>743</v>
      </c>
      <c r="D891" s="2" t="str">
        <f t="shared" si="54"/>
        <v>Tunde Fuller</v>
      </c>
      <c r="E891">
        <v>47</v>
      </c>
      <c r="F891" s="3" t="str">
        <f t="shared" si="55"/>
        <v>40-49</v>
      </c>
      <c r="G891" t="s">
        <v>292</v>
      </c>
      <c r="H891" t="s">
        <v>43</v>
      </c>
      <c r="I891" t="s">
        <v>36</v>
      </c>
      <c r="J891">
        <v>1</v>
      </c>
      <c r="K891" t="s">
        <v>44</v>
      </c>
      <c r="L891">
        <v>19</v>
      </c>
      <c r="M891" t="s">
        <v>91</v>
      </c>
      <c r="N891">
        <v>14500</v>
      </c>
      <c r="O891">
        <v>17</v>
      </c>
      <c r="P891">
        <v>246500</v>
      </c>
      <c r="Q891">
        <v>30.75</v>
      </c>
      <c r="R891" t="s">
        <v>29</v>
      </c>
      <c r="S891" t="s">
        <v>393</v>
      </c>
      <c r="T891">
        <f t="shared" si="56"/>
        <v>246500</v>
      </c>
      <c r="U891" t="str">
        <f t="shared" si="57"/>
        <v>13-24 Months</v>
      </c>
    </row>
    <row r="892" spans="1:21" hidden="1">
      <c r="A892" t="s">
        <v>1313</v>
      </c>
      <c r="B892" t="s">
        <v>126</v>
      </c>
      <c r="C892" s="2" t="s">
        <v>743</v>
      </c>
      <c r="D892" s="2" t="str">
        <f t="shared" si="54"/>
        <v>Tunde Fuller</v>
      </c>
      <c r="E892">
        <v>47</v>
      </c>
      <c r="F892" s="3" t="str">
        <f t="shared" si="55"/>
        <v>40-49</v>
      </c>
      <c r="G892" t="s">
        <v>292</v>
      </c>
      <c r="H892" t="s">
        <v>35</v>
      </c>
      <c r="I892" t="s">
        <v>36</v>
      </c>
      <c r="J892">
        <v>1</v>
      </c>
      <c r="K892" t="s">
        <v>44</v>
      </c>
      <c r="L892">
        <v>19</v>
      </c>
      <c r="M892" t="s">
        <v>113</v>
      </c>
      <c r="N892">
        <v>7500</v>
      </c>
      <c r="O892">
        <v>5</v>
      </c>
      <c r="P892">
        <v>37500</v>
      </c>
      <c r="Q892">
        <v>157.55000000000001</v>
      </c>
      <c r="R892" t="s">
        <v>29</v>
      </c>
      <c r="S892" t="s">
        <v>393</v>
      </c>
      <c r="T892">
        <f t="shared" si="56"/>
        <v>37500</v>
      </c>
      <c r="U892" t="str">
        <f t="shared" si="57"/>
        <v>13-24 Months</v>
      </c>
    </row>
    <row r="893" spans="1:21">
      <c r="A893" t="s">
        <v>1314</v>
      </c>
      <c r="B893" t="s">
        <v>75</v>
      </c>
      <c r="C893" s="2" t="s">
        <v>33</v>
      </c>
      <c r="D893" s="2" t="str">
        <f t="shared" si="54"/>
        <v>Boma Baker</v>
      </c>
      <c r="E893">
        <v>68</v>
      </c>
      <c r="F893" s="3" t="str">
        <f t="shared" si="55"/>
        <v>60-69</v>
      </c>
      <c r="G893" t="s">
        <v>151</v>
      </c>
      <c r="H893" t="s">
        <v>51</v>
      </c>
      <c r="I893" t="s">
        <v>36</v>
      </c>
      <c r="J893">
        <v>1</v>
      </c>
      <c r="K893" t="s">
        <v>44</v>
      </c>
      <c r="L893">
        <v>55</v>
      </c>
      <c r="M893" t="s">
        <v>52</v>
      </c>
      <c r="N893">
        <v>9000</v>
      </c>
      <c r="O893">
        <v>13</v>
      </c>
      <c r="P893">
        <v>117000</v>
      </c>
      <c r="Q893">
        <v>67.989999999999995</v>
      </c>
      <c r="R893" t="s">
        <v>46</v>
      </c>
      <c r="S893" t="s">
        <v>47</v>
      </c>
      <c r="T893">
        <f t="shared" si="56"/>
        <v>0</v>
      </c>
      <c r="U893" t="str">
        <f t="shared" si="57"/>
        <v>24+ Months</v>
      </c>
    </row>
    <row r="894" spans="1:21">
      <c r="A894" t="s">
        <v>1315</v>
      </c>
      <c r="B894" t="s">
        <v>192</v>
      </c>
      <c r="C894" s="2" t="s">
        <v>564</v>
      </c>
      <c r="D894" s="2" t="str">
        <f t="shared" si="54"/>
        <v>Amina Diaz</v>
      </c>
      <c r="E894">
        <v>71</v>
      </c>
      <c r="F894" s="3" t="str">
        <f t="shared" si="55"/>
        <v>70-79</v>
      </c>
      <c r="G894" t="s">
        <v>61</v>
      </c>
      <c r="H894" t="s">
        <v>43</v>
      </c>
      <c r="I894" t="s">
        <v>36</v>
      </c>
      <c r="J894">
        <v>2</v>
      </c>
      <c r="K894" t="s">
        <v>27</v>
      </c>
      <c r="L894">
        <v>49</v>
      </c>
      <c r="M894" t="s">
        <v>143</v>
      </c>
      <c r="N894">
        <v>75000</v>
      </c>
      <c r="O894">
        <v>18</v>
      </c>
      <c r="P894">
        <v>1350000</v>
      </c>
      <c r="Q894">
        <v>80.7</v>
      </c>
      <c r="R894" t="s">
        <v>46</v>
      </c>
      <c r="S894" t="s">
        <v>47</v>
      </c>
      <c r="T894">
        <f t="shared" si="56"/>
        <v>0</v>
      </c>
      <c r="U894" t="str">
        <f t="shared" si="57"/>
        <v>24+ Months</v>
      </c>
    </row>
    <row r="895" spans="1:21">
      <c r="A895" t="s">
        <v>1316</v>
      </c>
      <c r="B895" t="s">
        <v>169</v>
      </c>
      <c r="C895" s="2" t="s">
        <v>1070</v>
      </c>
      <c r="D895" s="2" t="str">
        <f t="shared" si="54"/>
        <v>Maryam Martin</v>
      </c>
      <c r="E895">
        <v>56</v>
      </c>
      <c r="F895" s="3" t="str">
        <f t="shared" si="55"/>
        <v>50-59</v>
      </c>
      <c r="G895" t="s">
        <v>210</v>
      </c>
      <c r="H895" t="s">
        <v>35</v>
      </c>
      <c r="I895" t="s">
        <v>26</v>
      </c>
      <c r="J895">
        <v>5</v>
      </c>
      <c r="K895" t="s">
        <v>68</v>
      </c>
      <c r="L895">
        <v>53</v>
      </c>
      <c r="M895" t="s">
        <v>37</v>
      </c>
      <c r="N895">
        <v>5500</v>
      </c>
      <c r="O895">
        <v>18</v>
      </c>
      <c r="P895">
        <v>99000</v>
      </c>
      <c r="Q895">
        <v>128.94999999999999</v>
      </c>
      <c r="R895" t="s">
        <v>46</v>
      </c>
      <c r="S895" t="s">
        <v>47</v>
      </c>
      <c r="T895">
        <f t="shared" si="56"/>
        <v>0</v>
      </c>
      <c r="U895" t="str">
        <f t="shared" si="57"/>
        <v>24+ Months</v>
      </c>
    </row>
    <row r="896" spans="1:21" hidden="1">
      <c r="A896" t="s">
        <v>1317</v>
      </c>
      <c r="B896" t="s">
        <v>182</v>
      </c>
      <c r="C896" s="2" t="s">
        <v>1318</v>
      </c>
      <c r="D896" s="2" t="str">
        <f t="shared" si="54"/>
        <v>Alabo Bradley</v>
      </c>
      <c r="E896">
        <v>60</v>
      </c>
      <c r="F896" s="3" t="str">
        <f t="shared" si="55"/>
        <v>60-69</v>
      </c>
      <c r="G896" t="s">
        <v>106</v>
      </c>
      <c r="H896" t="s">
        <v>25</v>
      </c>
      <c r="I896" t="s">
        <v>26</v>
      </c>
      <c r="J896">
        <v>1</v>
      </c>
      <c r="K896" t="s">
        <v>44</v>
      </c>
      <c r="L896">
        <v>57</v>
      </c>
      <c r="M896" t="s">
        <v>63</v>
      </c>
      <c r="N896">
        <v>9000</v>
      </c>
      <c r="O896">
        <v>17</v>
      </c>
      <c r="P896">
        <v>153000</v>
      </c>
      <c r="Q896">
        <v>43.14</v>
      </c>
      <c r="R896" t="s">
        <v>29</v>
      </c>
      <c r="S896" t="s">
        <v>129</v>
      </c>
      <c r="T896">
        <f t="shared" si="56"/>
        <v>153000</v>
      </c>
      <c r="U896" t="str">
        <f t="shared" si="57"/>
        <v>24+ Months</v>
      </c>
    </row>
    <row r="897" spans="1:21" hidden="1">
      <c r="A897" t="s">
        <v>1319</v>
      </c>
      <c r="B897" t="s">
        <v>182</v>
      </c>
      <c r="C897" s="2" t="s">
        <v>1318</v>
      </c>
      <c r="D897" s="2" t="str">
        <f t="shared" si="54"/>
        <v>Alabo Bradley</v>
      </c>
      <c r="E897">
        <v>60</v>
      </c>
      <c r="F897" s="3" t="str">
        <f t="shared" si="55"/>
        <v>60-69</v>
      </c>
      <c r="G897" t="s">
        <v>106</v>
      </c>
      <c r="H897" t="s">
        <v>43</v>
      </c>
      <c r="I897" t="s">
        <v>26</v>
      </c>
      <c r="J897">
        <v>1</v>
      </c>
      <c r="K897" t="s">
        <v>44</v>
      </c>
      <c r="L897">
        <v>57</v>
      </c>
      <c r="M897" t="s">
        <v>78</v>
      </c>
      <c r="N897">
        <v>24000</v>
      </c>
      <c r="O897">
        <v>6</v>
      </c>
      <c r="P897">
        <v>144000</v>
      </c>
      <c r="Q897">
        <v>104.51</v>
      </c>
      <c r="R897" t="s">
        <v>29</v>
      </c>
      <c r="S897" t="s">
        <v>129</v>
      </c>
      <c r="T897">
        <f t="shared" si="56"/>
        <v>144000</v>
      </c>
      <c r="U897" t="str">
        <f t="shared" si="57"/>
        <v>24+ Months</v>
      </c>
    </row>
    <row r="898" spans="1:21">
      <c r="A898" t="s">
        <v>1320</v>
      </c>
      <c r="B898" t="s">
        <v>54</v>
      </c>
      <c r="C898" s="2" t="s">
        <v>1070</v>
      </c>
      <c r="D898" s="2" t="str">
        <f t="shared" si="54"/>
        <v>Ejiro Martin</v>
      </c>
      <c r="E898">
        <v>49</v>
      </c>
      <c r="F898" s="3" t="str">
        <f t="shared" si="55"/>
        <v>40-49</v>
      </c>
      <c r="G898" t="s">
        <v>260</v>
      </c>
      <c r="H898" t="s">
        <v>51</v>
      </c>
      <c r="I898" t="s">
        <v>36</v>
      </c>
      <c r="J898">
        <v>1</v>
      </c>
      <c r="K898" t="s">
        <v>44</v>
      </c>
      <c r="L898">
        <v>8</v>
      </c>
      <c r="M898" t="s">
        <v>45</v>
      </c>
      <c r="N898">
        <v>20000</v>
      </c>
      <c r="O898">
        <v>19</v>
      </c>
      <c r="P898">
        <v>380000</v>
      </c>
      <c r="Q898">
        <v>161.16999999999999</v>
      </c>
      <c r="R898" t="s">
        <v>46</v>
      </c>
      <c r="S898" t="s">
        <v>47</v>
      </c>
      <c r="T898">
        <f t="shared" si="56"/>
        <v>0</v>
      </c>
      <c r="U898" t="str">
        <f t="shared" si="57"/>
        <v>7-12 Months</v>
      </c>
    </row>
    <row r="899" spans="1:21">
      <c r="A899" t="s">
        <v>1321</v>
      </c>
      <c r="B899" t="s">
        <v>54</v>
      </c>
      <c r="C899" s="2" t="s">
        <v>1070</v>
      </c>
      <c r="D899" s="2" t="str">
        <f t="shared" ref="D899:D962" si="58">B899&amp;" "&amp;C899</f>
        <v>Ejiro Martin</v>
      </c>
      <c r="E899">
        <v>49</v>
      </c>
      <c r="F899" s="3" t="str">
        <f t="shared" ref="F899:F962" si="59">FLOOR(E899, 10)&amp;"-"&amp;FLOOR(E899, 10)+9</f>
        <v>40-49</v>
      </c>
      <c r="G899" t="s">
        <v>260</v>
      </c>
      <c r="H899" t="s">
        <v>25</v>
      </c>
      <c r="I899" t="s">
        <v>36</v>
      </c>
      <c r="J899">
        <v>1</v>
      </c>
      <c r="K899" t="s">
        <v>44</v>
      </c>
      <c r="L899">
        <v>8</v>
      </c>
      <c r="M899" t="s">
        <v>57</v>
      </c>
      <c r="N899">
        <v>4500</v>
      </c>
      <c r="O899">
        <v>10</v>
      </c>
      <c r="P899">
        <v>45000</v>
      </c>
      <c r="Q899">
        <v>70.39</v>
      </c>
      <c r="R899" t="s">
        <v>46</v>
      </c>
      <c r="S899" t="s">
        <v>47</v>
      </c>
      <c r="T899">
        <f t="shared" si="56"/>
        <v>0</v>
      </c>
      <c r="U899" t="str">
        <f t="shared" si="57"/>
        <v>7-12 Months</v>
      </c>
    </row>
    <row r="900" spans="1:21">
      <c r="A900" t="s">
        <v>1322</v>
      </c>
      <c r="B900" t="s">
        <v>54</v>
      </c>
      <c r="C900" s="2" t="s">
        <v>1070</v>
      </c>
      <c r="D900" s="2" t="str">
        <f t="shared" si="58"/>
        <v>Ejiro Martin</v>
      </c>
      <c r="E900">
        <v>49</v>
      </c>
      <c r="F900" s="3" t="str">
        <f t="shared" si="59"/>
        <v>40-49</v>
      </c>
      <c r="G900" t="s">
        <v>260</v>
      </c>
      <c r="H900" t="s">
        <v>43</v>
      </c>
      <c r="I900" t="s">
        <v>36</v>
      </c>
      <c r="J900">
        <v>1</v>
      </c>
      <c r="K900" t="s">
        <v>44</v>
      </c>
      <c r="L900">
        <v>8</v>
      </c>
      <c r="M900" t="s">
        <v>82</v>
      </c>
      <c r="N900">
        <v>30000</v>
      </c>
      <c r="O900">
        <v>17</v>
      </c>
      <c r="P900">
        <v>510000</v>
      </c>
      <c r="Q900">
        <v>143.01</v>
      </c>
      <c r="R900" t="s">
        <v>46</v>
      </c>
      <c r="S900" t="s">
        <v>47</v>
      </c>
      <c r="T900">
        <f t="shared" si="56"/>
        <v>0</v>
      </c>
      <c r="U900" t="str">
        <f t="shared" si="57"/>
        <v>7-12 Months</v>
      </c>
    </row>
    <row r="901" spans="1:21" hidden="1">
      <c r="A901" t="s">
        <v>1323</v>
      </c>
      <c r="B901" t="s">
        <v>87</v>
      </c>
      <c r="C901" s="2" t="s">
        <v>55</v>
      </c>
      <c r="D901" s="2" t="str">
        <f t="shared" si="58"/>
        <v>Halima Walker</v>
      </c>
      <c r="E901">
        <v>29</v>
      </c>
      <c r="F901" s="3" t="str">
        <f t="shared" si="59"/>
        <v>20-29</v>
      </c>
      <c r="G901" t="s">
        <v>353</v>
      </c>
      <c r="H901" t="s">
        <v>35</v>
      </c>
      <c r="I901" t="s">
        <v>26</v>
      </c>
      <c r="J901">
        <v>4</v>
      </c>
      <c r="K901" t="s">
        <v>155</v>
      </c>
      <c r="L901">
        <v>53</v>
      </c>
      <c r="M901" t="s">
        <v>108</v>
      </c>
      <c r="N901">
        <v>1000</v>
      </c>
      <c r="O901">
        <v>5</v>
      </c>
      <c r="P901">
        <v>5000</v>
      </c>
      <c r="Q901">
        <v>12.91</v>
      </c>
      <c r="R901" t="s">
        <v>29</v>
      </c>
      <c r="S901" t="s">
        <v>393</v>
      </c>
      <c r="T901">
        <f t="shared" si="56"/>
        <v>5000</v>
      </c>
      <c r="U901" t="str">
        <f t="shared" si="57"/>
        <v>24+ Months</v>
      </c>
    </row>
    <row r="902" spans="1:21" hidden="1">
      <c r="A902" t="s">
        <v>1324</v>
      </c>
      <c r="B902" t="s">
        <v>87</v>
      </c>
      <c r="C902" s="2" t="s">
        <v>55</v>
      </c>
      <c r="D902" s="2" t="str">
        <f t="shared" si="58"/>
        <v>Halima Walker</v>
      </c>
      <c r="E902">
        <v>29</v>
      </c>
      <c r="F902" s="3" t="str">
        <f t="shared" si="59"/>
        <v>20-29</v>
      </c>
      <c r="G902" t="s">
        <v>353</v>
      </c>
      <c r="H902" t="s">
        <v>51</v>
      </c>
      <c r="I902" t="s">
        <v>26</v>
      </c>
      <c r="J902">
        <v>4</v>
      </c>
      <c r="K902" t="s">
        <v>155</v>
      </c>
      <c r="L902">
        <v>53</v>
      </c>
      <c r="M902" t="s">
        <v>91</v>
      </c>
      <c r="N902">
        <v>14500</v>
      </c>
      <c r="O902">
        <v>3</v>
      </c>
      <c r="P902">
        <v>43500</v>
      </c>
      <c r="Q902">
        <v>43.35</v>
      </c>
      <c r="R902" t="s">
        <v>29</v>
      </c>
      <c r="S902" t="s">
        <v>393</v>
      </c>
      <c r="T902">
        <f t="shared" si="56"/>
        <v>43500</v>
      </c>
      <c r="U902" t="str">
        <f t="shared" si="57"/>
        <v>24+ Months</v>
      </c>
    </row>
    <row r="903" spans="1:21">
      <c r="A903" t="s">
        <v>1325</v>
      </c>
      <c r="B903" t="s">
        <v>54</v>
      </c>
      <c r="C903" s="2" t="s">
        <v>147</v>
      </c>
      <c r="D903" s="2" t="str">
        <f t="shared" si="58"/>
        <v>Ejiro Brown</v>
      </c>
      <c r="E903">
        <v>67</v>
      </c>
      <c r="F903" s="3" t="str">
        <f t="shared" si="59"/>
        <v>60-69</v>
      </c>
      <c r="G903" t="s">
        <v>96</v>
      </c>
      <c r="H903" t="s">
        <v>35</v>
      </c>
      <c r="I903" t="s">
        <v>36</v>
      </c>
      <c r="J903">
        <v>5</v>
      </c>
      <c r="K903" t="s">
        <v>68</v>
      </c>
      <c r="L903">
        <v>56</v>
      </c>
      <c r="M903" t="s">
        <v>37</v>
      </c>
      <c r="N903">
        <v>5500</v>
      </c>
      <c r="O903">
        <v>14</v>
      </c>
      <c r="P903">
        <v>77000</v>
      </c>
      <c r="Q903">
        <v>146.47999999999999</v>
      </c>
      <c r="R903" t="s">
        <v>46</v>
      </c>
      <c r="S903" t="s">
        <v>47</v>
      </c>
      <c r="T903">
        <f t="shared" si="56"/>
        <v>0</v>
      </c>
      <c r="U903" t="str">
        <f t="shared" si="57"/>
        <v>24+ Months</v>
      </c>
    </row>
    <row r="904" spans="1:21">
      <c r="A904" t="s">
        <v>1326</v>
      </c>
      <c r="B904" t="s">
        <v>54</v>
      </c>
      <c r="C904" s="2" t="s">
        <v>147</v>
      </c>
      <c r="D904" s="2" t="str">
        <f t="shared" si="58"/>
        <v>Ejiro Brown</v>
      </c>
      <c r="E904">
        <v>67</v>
      </c>
      <c r="F904" s="3" t="str">
        <f t="shared" si="59"/>
        <v>60-69</v>
      </c>
      <c r="G904" t="s">
        <v>96</v>
      </c>
      <c r="H904" t="s">
        <v>43</v>
      </c>
      <c r="I904" t="s">
        <v>36</v>
      </c>
      <c r="J904">
        <v>5</v>
      </c>
      <c r="K904" t="s">
        <v>68</v>
      </c>
      <c r="L904">
        <v>56</v>
      </c>
      <c r="M904" t="s">
        <v>82</v>
      </c>
      <c r="N904">
        <v>30000</v>
      </c>
      <c r="O904">
        <v>5</v>
      </c>
      <c r="P904">
        <v>150000</v>
      </c>
      <c r="Q904">
        <v>29.3</v>
      </c>
      <c r="R904" t="s">
        <v>46</v>
      </c>
      <c r="S904" t="s">
        <v>47</v>
      </c>
      <c r="T904">
        <f t="shared" si="56"/>
        <v>0</v>
      </c>
      <c r="U904" t="str">
        <f t="shared" si="57"/>
        <v>24+ Months</v>
      </c>
    </row>
    <row r="905" spans="1:21">
      <c r="A905" t="s">
        <v>1327</v>
      </c>
      <c r="B905" t="s">
        <v>232</v>
      </c>
      <c r="C905" s="2" t="s">
        <v>1328</v>
      </c>
      <c r="D905" s="2" t="str">
        <f t="shared" si="58"/>
        <v>Grace Bell</v>
      </c>
      <c r="E905">
        <v>74</v>
      </c>
      <c r="F905" s="3" t="str">
        <f t="shared" si="59"/>
        <v>70-79</v>
      </c>
      <c r="G905" t="s">
        <v>194</v>
      </c>
      <c r="H905" t="s">
        <v>25</v>
      </c>
      <c r="I905" t="s">
        <v>26</v>
      </c>
      <c r="J905">
        <v>4</v>
      </c>
      <c r="K905" t="s">
        <v>155</v>
      </c>
      <c r="L905">
        <v>45</v>
      </c>
      <c r="M905" t="s">
        <v>73</v>
      </c>
      <c r="N905">
        <v>16000</v>
      </c>
      <c r="O905">
        <v>14</v>
      </c>
      <c r="P905">
        <v>224000</v>
      </c>
      <c r="Q905">
        <v>120.52</v>
      </c>
      <c r="R905" t="s">
        <v>46</v>
      </c>
      <c r="S905" t="s">
        <v>47</v>
      </c>
      <c r="T905">
        <f t="shared" si="56"/>
        <v>0</v>
      </c>
      <c r="U905" t="str">
        <f t="shared" si="57"/>
        <v>24+ Months</v>
      </c>
    </row>
    <row r="906" spans="1:21">
      <c r="A906" t="s">
        <v>1329</v>
      </c>
      <c r="B906" t="s">
        <v>232</v>
      </c>
      <c r="C906" s="2" t="s">
        <v>1328</v>
      </c>
      <c r="D906" s="2" t="str">
        <f t="shared" si="58"/>
        <v>Grace Bell</v>
      </c>
      <c r="E906">
        <v>74</v>
      </c>
      <c r="F906" s="3" t="str">
        <f t="shared" si="59"/>
        <v>70-79</v>
      </c>
      <c r="G906" t="s">
        <v>194</v>
      </c>
      <c r="H906" t="s">
        <v>43</v>
      </c>
      <c r="I906" t="s">
        <v>26</v>
      </c>
      <c r="J906">
        <v>4</v>
      </c>
      <c r="K906" t="s">
        <v>155</v>
      </c>
      <c r="L906">
        <v>45</v>
      </c>
      <c r="M906" t="s">
        <v>45</v>
      </c>
      <c r="N906">
        <v>20000</v>
      </c>
      <c r="O906">
        <v>19</v>
      </c>
      <c r="P906">
        <v>380000</v>
      </c>
      <c r="Q906">
        <v>24.61</v>
      </c>
      <c r="R906" t="s">
        <v>46</v>
      </c>
      <c r="S906" t="s">
        <v>47</v>
      </c>
      <c r="T906">
        <f t="shared" si="56"/>
        <v>0</v>
      </c>
      <c r="U906" t="str">
        <f t="shared" si="57"/>
        <v>24+ Months</v>
      </c>
    </row>
    <row r="907" spans="1:21">
      <c r="A907" t="s">
        <v>1330</v>
      </c>
      <c r="B907" t="s">
        <v>232</v>
      </c>
      <c r="C907" s="2" t="s">
        <v>1328</v>
      </c>
      <c r="D907" s="2" t="str">
        <f t="shared" si="58"/>
        <v>Grace Bell</v>
      </c>
      <c r="E907">
        <v>74</v>
      </c>
      <c r="F907" s="3" t="str">
        <f t="shared" si="59"/>
        <v>70-79</v>
      </c>
      <c r="G907" t="s">
        <v>194</v>
      </c>
      <c r="H907" t="s">
        <v>35</v>
      </c>
      <c r="I907" t="s">
        <v>26</v>
      </c>
      <c r="J907">
        <v>4</v>
      </c>
      <c r="K907" t="s">
        <v>155</v>
      </c>
      <c r="L907">
        <v>45</v>
      </c>
      <c r="M907" t="s">
        <v>49</v>
      </c>
      <c r="N907">
        <v>500</v>
      </c>
      <c r="O907">
        <v>5</v>
      </c>
      <c r="P907">
        <v>2500</v>
      </c>
      <c r="Q907">
        <v>8.5399999999999991</v>
      </c>
      <c r="R907" t="s">
        <v>46</v>
      </c>
      <c r="S907" t="s">
        <v>47</v>
      </c>
      <c r="T907">
        <f t="shared" si="56"/>
        <v>0</v>
      </c>
      <c r="U907" t="str">
        <f t="shared" si="57"/>
        <v>24+ Months</v>
      </c>
    </row>
    <row r="908" spans="1:21" hidden="1">
      <c r="A908" t="s">
        <v>1331</v>
      </c>
      <c r="B908" t="s">
        <v>80</v>
      </c>
      <c r="C908" s="2" t="s">
        <v>268</v>
      </c>
      <c r="D908" s="2" t="str">
        <f t="shared" si="58"/>
        <v>Ifeanyi Smith</v>
      </c>
      <c r="E908">
        <v>63</v>
      </c>
      <c r="F908" s="3" t="str">
        <f t="shared" si="59"/>
        <v>60-69</v>
      </c>
      <c r="G908" t="s">
        <v>206</v>
      </c>
      <c r="H908" t="s">
        <v>35</v>
      </c>
      <c r="I908" t="s">
        <v>36</v>
      </c>
      <c r="J908">
        <v>4</v>
      </c>
      <c r="K908" t="s">
        <v>155</v>
      </c>
      <c r="L908">
        <v>20</v>
      </c>
      <c r="M908" t="s">
        <v>137</v>
      </c>
      <c r="N908">
        <v>900</v>
      </c>
      <c r="O908">
        <v>10</v>
      </c>
      <c r="P908">
        <v>9000</v>
      </c>
      <c r="Q908">
        <v>187.4</v>
      </c>
      <c r="R908" t="s">
        <v>29</v>
      </c>
      <c r="S908" t="s">
        <v>362</v>
      </c>
      <c r="T908">
        <f t="shared" si="56"/>
        <v>9000</v>
      </c>
      <c r="U908" t="str">
        <f t="shared" si="57"/>
        <v>13-24 Months</v>
      </c>
    </row>
    <row r="909" spans="1:21">
      <c r="A909" t="s">
        <v>1332</v>
      </c>
      <c r="B909" t="s">
        <v>115</v>
      </c>
      <c r="C909" s="2" t="s">
        <v>1333</v>
      </c>
      <c r="D909" s="2" t="str">
        <f t="shared" si="58"/>
        <v>Abubakar Ross</v>
      </c>
      <c r="E909">
        <v>43</v>
      </c>
      <c r="F909" s="3" t="str">
        <f t="shared" si="59"/>
        <v>40-49</v>
      </c>
      <c r="G909" t="s">
        <v>179</v>
      </c>
      <c r="H909" t="s">
        <v>35</v>
      </c>
      <c r="I909" t="s">
        <v>36</v>
      </c>
      <c r="J909">
        <v>5</v>
      </c>
      <c r="K909" t="s">
        <v>68</v>
      </c>
      <c r="L909">
        <v>1</v>
      </c>
      <c r="M909" t="s">
        <v>37</v>
      </c>
      <c r="N909">
        <v>5500</v>
      </c>
      <c r="O909">
        <v>19</v>
      </c>
      <c r="P909">
        <v>104500</v>
      </c>
      <c r="Q909">
        <v>114.83</v>
      </c>
      <c r="R909" t="s">
        <v>46</v>
      </c>
      <c r="S909" t="s">
        <v>47</v>
      </c>
      <c r="T909">
        <f t="shared" si="56"/>
        <v>0</v>
      </c>
      <c r="U909" t="str">
        <f t="shared" si="57"/>
        <v>0-6 Months</v>
      </c>
    </row>
    <row r="910" spans="1:21">
      <c r="A910" t="s">
        <v>1334</v>
      </c>
      <c r="B910" t="s">
        <v>182</v>
      </c>
      <c r="C910" s="2" t="s">
        <v>1335</v>
      </c>
      <c r="D910" s="2" t="str">
        <f t="shared" si="58"/>
        <v>Alabo Escobar</v>
      </c>
      <c r="E910">
        <v>59</v>
      </c>
      <c r="F910" s="3" t="str">
        <f t="shared" si="59"/>
        <v>50-59</v>
      </c>
      <c r="G910" t="s">
        <v>77</v>
      </c>
      <c r="H910" t="s">
        <v>35</v>
      </c>
      <c r="I910" t="s">
        <v>36</v>
      </c>
      <c r="J910">
        <v>2</v>
      </c>
      <c r="K910" t="s">
        <v>27</v>
      </c>
      <c r="L910">
        <v>54</v>
      </c>
      <c r="M910" t="s">
        <v>37</v>
      </c>
      <c r="N910">
        <v>5500</v>
      </c>
      <c r="O910">
        <v>11</v>
      </c>
      <c r="P910">
        <v>60500</v>
      </c>
      <c r="Q910">
        <v>30.22</v>
      </c>
      <c r="R910" t="s">
        <v>46</v>
      </c>
      <c r="S910" t="s">
        <v>47</v>
      </c>
      <c r="T910">
        <f t="shared" si="56"/>
        <v>0</v>
      </c>
      <c r="U910" t="str">
        <f t="shared" si="57"/>
        <v>24+ Months</v>
      </c>
    </row>
    <row r="911" spans="1:21">
      <c r="A911" t="s">
        <v>1336</v>
      </c>
      <c r="B911" t="s">
        <v>182</v>
      </c>
      <c r="C911" s="2" t="s">
        <v>1335</v>
      </c>
      <c r="D911" s="2" t="str">
        <f t="shared" si="58"/>
        <v>Alabo Escobar</v>
      </c>
      <c r="E911">
        <v>59</v>
      </c>
      <c r="F911" s="3" t="str">
        <f t="shared" si="59"/>
        <v>50-59</v>
      </c>
      <c r="G911" t="s">
        <v>77</v>
      </c>
      <c r="H911" t="s">
        <v>43</v>
      </c>
      <c r="I911" t="s">
        <v>36</v>
      </c>
      <c r="J911">
        <v>2</v>
      </c>
      <c r="K911" t="s">
        <v>27</v>
      </c>
      <c r="L911">
        <v>54</v>
      </c>
      <c r="M911" t="s">
        <v>45</v>
      </c>
      <c r="N911">
        <v>20000</v>
      </c>
      <c r="O911">
        <v>20</v>
      </c>
      <c r="P911">
        <v>400000</v>
      </c>
      <c r="Q911">
        <v>160.06</v>
      </c>
      <c r="R911" t="s">
        <v>46</v>
      </c>
      <c r="S911" t="s">
        <v>47</v>
      </c>
      <c r="T911">
        <f t="shared" si="56"/>
        <v>0</v>
      </c>
      <c r="U911" t="str">
        <f t="shared" si="57"/>
        <v>24+ Months</v>
      </c>
    </row>
    <row r="912" spans="1:21">
      <c r="A912" t="s">
        <v>1337</v>
      </c>
      <c r="B912" t="s">
        <v>316</v>
      </c>
      <c r="C912" s="2" t="s">
        <v>851</v>
      </c>
      <c r="D912" s="2" t="str">
        <f t="shared" si="58"/>
        <v>Ibim Hunter</v>
      </c>
      <c r="E912">
        <v>65</v>
      </c>
      <c r="F912" s="3" t="str">
        <f t="shared" si="59"/>
        <v>60-69</v>
      </c>
      <c r="G912" t="s">
        <v>154</v>
      </c>
      <c r="H912" t="s">
        <v>51</v>
      </c>
      <c r="I912" t="s">
        <v>36</v>
      </c>
      <c r="J912">
        <v>4</v>
      </c>
      <c r="K912" t="s">
        <v>155</v>
      </c>
      <c r="L912">
        <v>22</v>
      </c>
      <c r="M912" t="s">
        <v>78</v>
      </c>
      <c r="N912">
        <v>24000</v>
      </c>
      <c r="O912">
        <v>10</v>
      </c>
      <c r="P912">
        <v>240000</v>
      </c>
      <c r="Q912">
        <v>126.21</v>
      </c>
      <c r="R912" t="s">
        <v>46</v>
      </c>
      <c r="S912" t="s">
        <v>47</v>
      </c>
      <c r="T912">
        <f t="shared" si="56"/>
        <v>0</v>
      </c>
      <c r="U912" t="str">
        <f t="shared" si="57"/>
        <v>13-24 Months</v>
      </c>
    </row>
    <row r="913" spans="1:21">
      <c r="A913" t="s">
        <v>1338</v>
      </c>
      <c r="B913" t="s">
        <v>316</v>
      </c>
      <c r="C913" s="2" t="s">
        <v>851</v>
      </c>
      <c r="D913" s="2" t="str">
        <f t="shared" si="58"/>
        <v>Ibim Hunter</v>
      </c>
      <c r="E913">
        <v>65</v>
      </c>
      <c r="F913" s="3" t="str">
        <f t="shared" si="59"/>
        <v>60-69</v>
      </c>
      <c r="G913" t="s">
        <v>154</v>
      </c>
      <c r="H913" t="s">
        <v>35</v>
      </c>
      <c r="I913" t="s">
        <v>36</v>
      </c>
      <c r="J913">
        <v>4</v>
      </c>
      <c r="K913" t="s">
        <v>155</v>
      </c>
      <c r="L913">
        <v>22</v>
      </c>
      <c r="M913" t="s">
        <v>264</v>
      </c>
      <c r="N913">
        <v>6500</v>
      </c>
      <c r="O913">
        <v>18</v>
      </c>
      <c r="P913">
        <v>117000</v>
      </c>
      <c r="Q913">
        <v>129.21</v>
      </c>
      <c r="R913" t="s">
        <v>46</v>
      </c>
      <c r="S913" t="s">
        <v>47</v>
      </c>
      <c r="T913">
        <f t="shared" si="56"/>
        <v>0</v>
      </c>
      <c r="U913" t="str">
        <f t="shared" si="57"/>
        <v>13-24 Months</v>
      </c>
    </row>
    <row r="914" spans="1:21">
      <c r="A914" t="s">
        <v>1339</v>
      </c>
      <c r="B914" t="s">
        <v>316</v>
      </c>
      <c r="C914" s="2" t="s">
        <v>851</v>
      </c>
      <c r="D914" s="2" t="str">
        <f t="shared" si="58"/>
        <v>Ibim Hunter</v>
      </c>
      <c r="E914">
        <v>65</v>
      </c>
      <c r="F914" s="3" t="str">
        <f t="shared" si="59"/>
        <v>60-69</v>
      </c>
      <c r="G914" t="s">
        <v>154</v>
      </c>
      <c r="H914" t="s">
        <v>43</v>
      </c>
      <c r="I914" t="s">
        <v>36</v>
      </c>
      <c r="J914">
        <v>4</v>
      </c>
      <c r="K914" t="s">
        <v>155</v>
      </c>
      <c r="L914">
        <v>22</v>
      </c>
      <c r="M914" t="s">
        <v>45</v>
      </c>
      <c r="N914">
        <v>20000</v>
      </c>
      <c r="O914">
        <v>20</v>
      </c>
      <c r="P914">
        <v>400000</v>
      </c>
      <c r="Q914">
        <v>38.89</v>
      </c>
      <c r="R914" t="s">
        <v>46</v>
      </c>
      <c r="S914" t="s">
        <v>47</v>
      </c>
      <c r="T914">
        <f t="shared" si="56"/>
        <v>0</v>
      </c>
      <c r="U914" t="str">
        <f t="shared" si="57"/>
        <v>13-24 Months</v>
      </c>
    </row>
    <row r="915" spans="1:21">
      <c r="A915" t="s">
        <v>1340</v>
      </c>
      <c r="B915" t="s">
        <v>131</v>
      </c>
      <c r="C915" s="2" t="s">
        <v>1341</v>
      </c>
      <c r="D915" s="2" t="str">
        <f t="shared" si="58"/>
        <v>David Boone</v>
      </c>
      <c r="E915">
        <v>22</v>
      </c>
      <c r="F915" s="3" t="str">
        <f t="shared" si="59"/>
        <v>20-29</v>
      </c>
      <c r="G915" t="s">
        <v>96</v>
      </c>
      <c r="H915" t="s">
        <v>25</v>
      </c>
      <c r="I915" t="s">
        <v>26</v>
      </c>
      <c r="J915">
        <v>5</v>
      </c>
      <c r="K915" t="s">
        <v>68</v>
      </c>
      <c r="L915">
        <v>49</v>
      </c>
      <c r="M915" t="s">
        <v>73</v>
      </c>
      <c r="N915">
        <v>16000</v>
      </c>
      <c r="O915">
        <v>7</v>
      </c>
      <c r="P915">
        <v>112000</v>
      </c>
      <c r="Q915">
        <v>55.36</v>
      </c>
      <c r="R915" t="s">
        <v>46</v>
      </c>
      <c r="S915" t="s">
        <v>47</v>
      </c>
      <c r="T915">
        <f t="shared" si="56"/>
        <v>0</v>
      </c>
      <c r="U915" t="str">
        <f t="shared" si="57"/>
        <v>24+ Months</v>
      </c>
    </row>
    <row r="916" spans="1:21">
      <c r="A916" t="s">
        <v>1342</v>
      </c>
      <c r="B916" t="s">
        <v>87</v>
      </c>
      <c r="C916" s="2" t="s">
        <v>1343</v>
      </c>
      <c r="D916" s="2" t="str">
        <f t="shared" si="58"/>
        <v>Halima Matthews</v>
      </c>
      <c r="E916">
        <v>72</v>
      </c>
      <c r="F916" s="3" t="str">
        <f t="shared" si="59"/>
        <v>70-79</v>
      </c>
      <c r="G916" t="s">
        <v>415</v>
      </c>
      <c r="H916" t="s">
        <v>43</v>
      </c>
      <c r="I916" t="s">
        <v>36</v>
      </c>
      <c r="J916">
        <v>4</v>
      </c>
      <c r="K916" t="s">
        <v>155</v>
      </c>
      <c r="L916">
        <v>26</v>
      </c>
      <c r="M916" t="s">
        <v>143</v>
      </c>
      <c r="N916">
        <v>75000</v>
      </c>
      <c r="O916">
        <v>1</v>
      </c>
      <c r="P916">
        <v>75000</v>
      </c>
      <c r="Q916">
        <v>36.51</v>
      </c>
      <c r="R916" t="s">
        <v>46</v>
      </c>
      <c r="S916" t="s">
        <v>47</v>
      </c>
      <c r="T916">
        <f t="shared" si="56"/>
        <v>0</v>
      </c>
      <c r="U916" t="str">
        <f t="shared" si="57"/>
        <v>24+ Months</v>
      </c>
    </row>
    <row r="917" spans="1:21">
      <c r="A917" t="s">
        <v>1344</v>
      </c>
      <c r="B917" t="s">
        <v>385</v>
      </c>
      <c r="C917" s="2" t="s">
        <v>1345</v>
      </c>
      <c r="D917" s="2" t="str">
        <f t="shared" si="58"/>
        <v>Sarah Gordon</v>
      </c>
      <c r="E917">
        <v>56</v>
      </c>
      <c r="F917" s="3" t="str">
        <f t="shared" si="59"/>
        <v>50-59</v>
      </c>
      <c r="G917" t="s">
        <v>77</v>
      </c>
      <c r="H917" t="s">
        <v>25</v>
      </c>
      <c r="I917" t="s">
        <v>36</v>
      </c>
      <c r="J917">
        <v>1</v>
      </c>
      <c r="K917" t="s">
        <v>44</v>
      </c>
      <c r="L917">
        <v>6</v>
      </c>
      <c r="M917" t="s">
        <v>63</v>
      </c>
      <c r="N917">
        <v>9000</v>
      </c>
      <c r="O917">
        <v>5</v>
      </c>
      <c r="P917">
        <v>45000</v>
      </c>
      <c r="Q917">
        <v>153.78</v>
      </c>
      <c r="R917" t="s">
        <v>46</v>
      </c>
      <c r="S917" t="s">
        <v>47</v>
      </c>
      <c r="T917">
        <f t="shared" si="56"/>
        <v>0</v>
      </c>
      <c r="U917" t="str">
        <f t="shared" si="57"/>
        <v>0-6 Months</v>
      </c>
    </row>
    <row r="918" spans="1:21">
      <c r="A918" t="s">
        <v>1346</v>
      </c>
      <c r="B918" t="s">
        <v>385</v>
      </c>
      <c r="C918" s="2" t="s">
        <v>1345</v>
      </c>
      <c r="D918" s="2" t="str">
        <f t="shared" si="58"/>
        <v>Sarah Gordon</v>
      </c>
      <c r="E918">
        <v>56</v>
      </c>
      <c r="F918" s="3" t="str">
        <f t="shared" si="59"/>
        <v>50-59</v>
      </c>
      <c r="G918" t="s">
        <v>77</v>
      </c>
      <c r="H918" t="s">
        <v>51</v>
      </c>
      <c r="I918" t="s">
        <v>36</v>
      </c>
      <c r="J918">
        <v>1</v>
      </c>
      <c r="K918" t="s">
        <v>44</v>
      </c>
      <c r="L918">
        <v>6</v>
      </c>
      <c r="M918" t="s">
        <v>82</v>
      </c>
      <c r="N918">
        <v>30000</v>
      </c>
      <c r="O918">
        <v>6</v>
      </c>
      <c r="P918">
        <v>180000</v>
      </c>
      <c r="Q918">
        <v>190.46</v>
      </c>
      <c r="R918" t="s">
        <v>46</v>
      </c>
      <c r="S918" t="s">
        <v>47</v>
      </c>
      <c r="T918">
        <f t="shared" si="56"/>
        <v>0</v>
      </c>
      <c r="U918" t="str">
        <f t="shared" si="57"/>
        <v>0-6 Months</v>
      </c>
    </row>
    <row r="919" spans="1:21">
      <c r="A919" t="s">
        <v>1347</v>
      </c>
      <c r="B919" t="s">
        <v>447</v>
      </c>
      <c r="C919" s="2" t="s">
        <v>1289</v>
      </c>
      <c r="D919" s="2" t="str">
        <f t="shared" si="58"/>
        <v>Sade Wagner</v>
      </c>
      <c r="E919">
        <v>57</v>
      </c>
      <c r="F919" s="3" t="str">
        <f t="shared" si="59"/>
        <v>50-59</v>
      </c>
      <c r="G919" t="s">
        <v>179</v>
      </c>
      <c r="H919" t="s">
        <v>25</v>
      </c>
      <c r="I919" t="s">
        <v>26</v>
      </c>
      <c r="J919">
        <v>3</v>
      </c>
      <c r="K919" t="s">
        <v>62</v>
      </c>
      <c r="L919">
        <v>46</v>
      </c>
      <c r="M919" t="s">
        <v>63</v>
      </c>
      <c r="N919">
        <v>9000</v>
      </c>
      <c r="O919">
        <v>4</v>
      </c>
      <c r="P919">
        <v>36000</v>
      </c>
      <c r="Q919">
        <v>51.96</v>
      </c>
      <c r="R919" t="s">
        <v>46</v>
      </c>
      <c r="S919" t="s">
        <v>47</v>
      </c>
      <c r="T919">
        <f t="shared" si="56"/>
        <v>0</v>
      </c>
      <c r="U919" t="str">
        <f t="shared" si="57"/>
        <v>24+ Months</v>
      </c>
    </row>
    <row r="920" spans="1:21">
      <c r="A920" t="s">
        <v>1348</v>
      </c>
      <c r="B920" t="s">
        <v>447</v>
      </c>
      <c r="C920" s="2" t="s">
        <v>1289</v>
      </c>
      <c r="D920" s="2" t="str">
        <f t="shared" si="58"/>
        <v>Sade Wagner</v>
      </c>
      <c r="E920">
        <v>57</v>
      </c>
      <c r="F920" s="3" t="str">
        <f t="shared" si="59"/>
        <v>50-59</v>
      </c>
      <c r="G920" t="s">
        <v>179</v>
      </c>
      <c r="H920" t="s">
        <v>35</v>
      </c>
      <c r="I920" t="s">
        <v>26</v>
      </c>
      <c r="J920">
        <v>3</v>
      </c>
      <c r="K920" t="s">
        <v>62</v>
      </c>
      <c r="L920">
        <v>46</v>
      </c>
      <c r="M920" t="s">
        <v>137</v>
      </c>
      <c r="N920">
        <v>900</v>
      </c>
      <c r="O920">
        <v>20</v>
      </c>
      <c r="P920">
        <v>18000</v>
      </c>
      <c r="Q920">
        <v>40.909999999999997</v>
      </c>
      <c r="R920" t="s">
        <v>46</v>
      </c>
      <c r="S920" t="s">
        <v>47</v>
      </c>
      <c r="T920">
        <f t="shared" si="56"/>
        <v>0</v>
      </c>
      <c r="U920" t="str">
        <f t="shared" si="57"/>
        <v>24+ Months</v>
      </c>
    </row>
    <row r="921" spans="1:21">
      <c r="A921" t="s">
        <v>1349</v>
      </c>
      <c r="B921" t="s">
        <v>87</v>
      </c>
      <c r="C921" s="2" t="s">
        <v>1118</v>
      </c>
      <c r="D921" s="2" t="str">
        <f t="shared" si="58"/>
        <v>Halima Adams</v>
      </c>
      <c r="E921">
        <v>79</v>
      </c>
      <c r="F921" s="3" t="str">
        <f t="shared" si="59"/>
        <v>70-79</v>
      </c>
      <c r="G921" t="s">
        <v>260</v>
      </c>
      <c r="H921" t="s">
        <v>35</v>
      </c>
      <c r="I921" t="s">
        <v>36</v>
      </c>
      <c r="J921">
        <v>1</v>
      </c>
      <c r="K921" t="s">
        <v>44</v>
      </c>
      <c r="L921">
        <v>8</v>
      </c>
      <c r="M921" t="s">
        <v>137</v>
      </c>
      <c r="N921">
        <v>900</v>
      </c>
      <c r="O921">
        <v>8</v>
      </c>
      <c r="P921">
        <v>7200</v>
      </c>
      <c r="Q921">
        <v>81.8</v>
      </c>
      <c r="R921" t="s">
        <v>46</v>
      </c>
      <c r="S921" t="s">
        <v>47</v>
      </c>
      <c r="T921">
        <f t="shared" si="56"/>
        <v>0</v>
      </c>
      <c r="U921" t="str">
        <f t="shared" si="57"/>
        <v>7-12 Months</v>
      </c>
    </row>
    <row r="922" spans="1:21">
      <c r="A922" t="s">
        <v>1350</v>
      </c>
      <c r="B922" t="s">
        <v>87</v>
      </c>
      <c r="C922" s="2" t="s">
        <v>1118</v>
      </c>
      <c r="D922" s="2" t="str">
        <f t="shared" si="58"/>
        <v>Halima Adams</v>
      </c>
      <c r="E922">
        <v>79</v>
      </c>
      <c r="F922" s="3" t="str">
        <f t="shared" si="59"/>
        <v>70-79</v>
      </c>
      <c r="G922" t="s">
        <v>260</v>
      </c>
      <c r="H922" t="s">
        <v>51</v>
      </c>
      <c r="I922" t="s">
        <v>36</v>
      </c>
      <c r="J922">
        <v>1</v>
      </c>
      <c r="K922" t="s">
        <v>44</v>
      </c>
      <c r="L922">
        <v>8</v>
      </c>
      <c r="M922" t="s">
        <v>52</v>
      </c>
      <c r="N922">
        <v>9000</v>
      </c>
      <c r="O922">
        <v>19</v>
      </c>
      <c r="P922">
        <v>171000</v>
      </c>
      <c r="Q922">
        <v>54.2</v>
      </c>
      <c r="R922" t="s">
        <v>46</v>
      </c>
      <c r="S922" t="s">
        <v>47</v>
      </c>
      <c r="T922">
        <f t="shared" si="56"/>
        <v>0</v>
      </c>
      <c r="U922" t="str">
        <f t="shared" si="57"/>
        <v>7-12 Months</v>
      </c>
    </row>
    <row r="923" spans="1:21">
      <c r="A923" t="s">
        <v>1351</v>
      </c>
      <c r="B923" t="s">
        <v>87</v>
      </c>
      <c r="C923" s="2" t="s">
        <v>1118</v>
      </c>
      <c r="D923" s="2" t="str">
        <f t="shared" si="58"/>
        <v>Halima Adams</v>
      </c>
      <c r="E923">
        <v>79</v>
      </c>
      <c r="F923" s="3" t="str">
        <f t="shared" si="59"/>
        <v>70-79</v>
      </c>
      <c r="G923" t="s">
        <v>260</v>
      </c>
      <c r="H923" t="s">
        <v>25</v>
      </c>
      <c r="I923" t="s">
        <v>36</v>
      </c>
      <c r="J923">
        <v>1</v>
      </c>
      <c r="K923" t="s">
        <v>44</v>
      </c>
      <c r="L923">
        <v>8</v>
      </c>
      <c r="M923" t="s">
        <v>73</v>
      </c>
      <c r="N923">
        <v>16000</v>
      </c>
      <c r="O923">
        <v>18</v>
      </c>
      <c r="P923">
        <v>288000</v>
      </c>
      <c r="Q923">
        <v>49.64</v>
      </c>
      <c r="R923" t="s">
        <v>46</v>
      </c>
      <c r="S923" t="s">
        <v>47</v>
      </c>
      <c r="T923">
        <f t="shared" si="56"/>
        <v>0</v>
      </c>
      <c r="U923" t="str">
        <f t="shared" si="57"/>
        <v>7-12 Months</v>
      </c>
    </row>
    <row r="924" spans="1:21">
      <c r="A924" t="s">
        <v>1352</v>
      </c>
      <c r="B924" t="s">
        <v>140</v>
      </c>
      <c r="C924" s="2" t="s">
        <v>573</v>
      </c>
      <c r="D924" s="2" t="str">
        <f t="shared" si="58"/>
        <v>Amaka Jackson</v>
      </c>
      <c r="E924">
        <v>54</v>
      </c>
      <c r="F924" s="3" t="str">
        <f t="shared" si="59"/>
        <v>50-59</v>
      </c>
      <c r="G924" t="s">
        <v>151</v>
      </c>
      <c r="H924" t="s">
        <v>25</v>
      </c>
      <c r="I924" t="s">
        <v>36</v>
      </c>
      <c r="J924">
        <v>2</v>
      </c>
      <c r="K924" t="s">
        <v>27</v>
      </c>
      <c r="L924">
        <v>6</v>
      </c>
      <c r="M924" t="s">
        <v>28</v>
      </c>
      <c r="N924">
        <v>35000</v>
      </c>
      <c r="O924">
        <v>18</v>
      </c>
      <c r="P924">
        <v>630000</v>
      </c>
      <c r="Q924">
        <v>192.29</v>
      </c>
      <c r="R924" t="s">
        <v>46</v>
      </c>
      <c r="S924" t="s">
        <v>47</v>
      </c>
      <c r="T924">
        <f t="shared" si="56"/>
        <v>0</v>
      </c>
      <c r="U924" t="str">
        <f t="shared" si="57"/>
        <v>0-6 Months</v>
      </c>
    </row>
    <row r="925" spans="1:21" hidden="1">
      <c r="A925" t="s">
        <v>1353</v>
      </c>
      <c r="B925" t="s">
        <v>182</v>
      </c>
      <c r="C925" s="2" t="s">
        <v>105</v>
      </c>
      <c r="D925" s="2" t="str">
        <f t="shared" si="58"/>
        <v>Alabo Moreno</v>
      </c>
      <c r="E925">
        <v>21</v>
      </c>
      <c r="F925" s="3" t="str">
        <f t="shared" si="59"/>
        <v>20-29</v>
      </c>
      <c r="G925" t="s">
        <v>628</v>
      </c>
      <c r="H925" t="s">
        <v>43</v>
      </c>
      <c r="I925" t="s">
        <v>36</v>
      </c>
      <c r="J925">
        <v>2</v>
      </c>
      <c r="K925" t="s">
        <v>27</v>
      </c>
      <c r="L925">
        <v>54</v>
      </c>
      <c r="M925" t="s">
        <v>143</v>
      </c>
      <c r="N925">
        <v>75000</v>
      </c>
      <c r="O925">
        <v>7</v>
      </c>
      <c r="P925">
        <v>525000</v>
      </c>
      <c r="Q925">
        <v>199.85</v>
      </c>
      <c r="R925" t="s">
        <v>29</v>
      </c>
      <c r="S925" t="s">
        <v>229</v>
      </c>
      <c r="T925">
        <f t="shared" si="56"/>
        <v>525000</v>
      </c>
      <c r="U925" t="str">
        <f t="shared" si="57"/>
        <v>24+ Months</v>
      </c>
    </row>
    <row r="926" spans="1:21" hidden="1">
      <c r="A926" t="s">
        <v>1354</v>
      </c>
      <c r="B926" t="s">
        <v>182</v>
      </c>
      <c r="C926" s="2" t="s">
        <v>105</v>
      </c>
      <c r="D926" s="2" t="str">
        <f t="shared" si="58"/>
        <v>Alabo Moreno</v>
      </c>
      <c r="E926">
        <v>21</v>
      </c>
      <c r="F926" s="3" t="str">
        <f t="shared" si="59"/>
        <v>20-29</v>
      </c>
      <c r="G926" t="s">
        <v>628</v>
      </c>
      <c r="H926" t="s">
        <v>35</v>
      </c>
      <c r="I926" t="s">
        <v>36</v>
      </c>
      <c r="J926">
        <v>2</v>
      </c>
      <c r="K926" t="s">
        <v>27</v>
      </c>
      <c r="L926">
        <v>54</v>
      </c>
      <c r="M926" t="s">
        <v>264</v>
      </c>
      <c r="N926">
        <v>6500</v>
      </c>
      <c r="O926">
        <v>6</v>
      </c>
      <c r="P926">
        <v>39000</v>
      </c>
      <c r="Q926">
        <v>56.62</v>
      </c>
      <c r="R926" t="s">
        <v>29</v>
      </c>
      <c r="S926" t="s">
        <v>229</v>
      </c>
      <c r="T926">
        <f t="shared" si="56"/>
        <v>39000</v>
      </c>
      <c r="U926" t="str">
        <f t="shared" si="57"/>
        <v>24+ Months</v>
      </c>
    </row>
    <row r="927" spans="1:21">
      <c r="A927" t="s">
        <v>1355</v>
      </c>
      <c r="B927" t="s">
        <v>131</v>
      </c>
      <c r="C927" s="2" t="s">
        <v>81</v>
      </c>
      <c r="D927" s="2" t="str">
        <f t="shared" si="58"/>
        <v>David Park</v>
      </c>
      <c r="E927">
        <v>24</v>
      </c>
      <c r="F927" s="3" t="str">
        <f t="shared" si="59"/>
        <v>20-29</v>
      </c>
      <c r="G927" t="s">
        <v>206</v>
      </c>
      <c r="H927" t="s">
        <v>35</v>
      </c>
      <c r="I927" t="s">
        <v>26</v>
      </c>
      <c r="J927">
        <v>2</v>
      </c>
      <c r="K927" t="s">
        <v>27</v>
      </c>
      <c r="L927">
        <v>26</v>
      </c>
      <c r="M927" t="s">
        <v>264</v>
      </c>
      <c r="N927">
        <v>6500</v>
      </c>
      <c r="O927">
        <v>11</v>
      </c>
      <c r="P927">
        <v>71500</v>
      </c>
      <c r="Q927">
        <v>191.5</v>
      </c>
      <c r="R927" t="s">
        <v>46</v>
      </c>
      <c r="S927" t="s">
        <v>47</v>
      </c>
      <c r="T927">
        <f t="shared" si="56"/>
        <v>0</v>
      </c>
      <c r="U927" t="str">
        <f t="shared" si="57"/>
        <v>24+ Months</v>
      </c>
    </row>
    <row r="928" spans="1:21">
      <c r="A928" t="s">
        <v>1356</v>
      </c>
      <c r="B928" t="s">
        <v>131</v>
      </c>
      <c r="C928" s="2" t="s">
        <v>81</v>
      </c>
      <c r="D928" s="2" t="str">
        <f t="shared" si="58"/>
        <v>David Park</v>
      </c>
      <c r="E928">
        <v>24</v>
      </c>
      <c r="F928" s="3" t="str">
        <f t="shared" si="59"/>
        <v>20-29</v>
      </c>
      <c r="G928" t="s">
        <v>206</v>
      </c>
      <c r="H928" t="s">
        <v>51</v>
      </c>
      <c r="I928" t="s">
        <v>26</v>
      </c>
      <c r="J928">
        <v>2</v>
      </c>
      <c r="K928" t="s">
        <v>27</v>
      </c>
      <c r="L928">
        <v>26</v>
      </c>
      <c r="M928" t="s">
        <v>82</v>
      </c>
      <c r="N928">
        <v>30000</v>
      </c>
      <c r="O928">
        <v>15</v>
      </c>
      <c r="P928">
        <v>450000</v>
      </c>
      <c r="Q928">
        <v>127.22</v>
      </c>
      <c r="R928" t="s">
        <v>46</v>
      </c>
      <c r="S928" t="s">
        <v>47</v>
      </c>
      <c r="T928">
        <f t="shared" si="56"/>
        <v>0</v>
      </c>
      <c r="U928" t="str">
        <f t="shared" si="57"/>
        <v>24+ Months</v>
      </c>
    </row>
    <row r="929" spans="1:21">
      <c r="A929" t="s">
        <v>1357</v>
      </c>
      <c r="B929" t="s">
        <v>32</v>
      </c>
      <c r="C929" s="2" t="s">
        <v>1358</v>
      </c>
      <c r="D929" s="2" t="str">
        <f t="shared" si="58"/>
        <v>Zainab Lam</v>
      </c>
      <c r="E929">
        <v>47</v>
      </c>
      <c r="F929" s="3" t="str">
        <f t="shared" si="59"/>
        <v>40-49</v>
      </c>
      <c r="G929" t="s">
        <v>353</v>
      </c>
      <c r="H929" t="s">
        <v>25</v>
      </c>
      <c r="I929" t="s">
        <v>36</v>
      </c>
      <c r="J929">
        <v>5</v>
      </c>
      <c r="K929" t="s">
        <v>68</v>
      </c>
      <c r="L929">
        <v>14</v>
      </c>
      <c r="M929" t="s">
        <v>28</v>
      </c>
      <c r="N929">
        <v>35000</v>
      </c>
      <c r="O929">
        <v>1</v>
      </c>
      <c r="P929">
        <v>35000</v>
      </c>
      <c r="Q929">
        <v>1.35</v>
      </c>
      <c r="R929" t="s">
        <v>46</v>
      </c>
      <c r="S929" t="s">
        <v>47</v>
      </c>
      <c r="T929">
        <f t="shared" si="56"/>
        <v>0</v>
      </c>
      <c r="U929" t="str">
        <f t="shared" si="57"/>
        <v>13-24 Months</v>
      </c>
    </row>
    <row r="930" spans="1:21">
      <c r="A930" t="s">
        <v>1359</v>
      </c>
      <c r="B930" t="s">
        <v>32</v>
      </c>
      <c r="C930" s="2" t="s">
        <v>1358</v>
      </c>
      <c r="D930" s="2" t="str">
        <f t="shared" si="58"/>
        <v>Zainab Lam</v>
      </c>
      <c r="E930">
        <v>47</v>
      </c>
      <c r="F930" s="3" t="str">
        <f t="shared" si="59"/>
        <v>40-49</v>
      </c>
      <c r="G930" t="s">
        <v>353</v>
      </c>
      <c r="H930" t="s">
        <v>43</v>
      </c>
      <c r="I930" t="s">
        <v>36</v>
      </c>
      <c r="J930">
        <v>5</v>
      </c>
      <c r="K930" t="s">
        <v>68</v>
      </c>
      <c r="L930">
        <v>14</v>
      </c>
      <c r="M930" t="s">
        <v>82</v>
      </c>
      <c r="N930">
        <v>30000</v>
      </c>
      <c r="O930">
        <v>16</v>
      </c>
      <c r="P930">
        <v>480000</v>
      </c>
      <c r="Q930">
        <v>82.93</v>
      </c>
      <c r="R930" t="s">
        <v>46</v>
      </c>
      <c r="S930" t="s">
        <v>47</v>
      </c>
      <c r="T930">
        <f t="shared" si="56"/>
        <v>0</v>
      </c>
      <c r="U930" t="str">
        <f t="shared" si="57"/>
        <v>13-24 Months</v>
      </c>
    </row>
    <row r="931" spans="1:21">
      <c r="A931" t="s">
        <v>1360</v>
      </c>
      <c r="B931" t="s">
        <v>32</v>
      </c>
      <c r="C931" s="2" t="s">
        <v>1358</v>
      </c>
      <c r="D931" s="2" t="str">
        <f t="shared" si="58"/>
        <v>Zainab Lam</v>
      </c>
      <c r="E931">
        <v>47</v>
      </c>
      <c r="F931" s="3" t="str">
        <f t="shared" si="59"/>
        <v>40-49</v>
      </c>
      <c r="G931" t="s">
        <v>353</v>
      </c>
      <c r="H931" t="s">
        <v>51</v>
      </c>
      <c r="I931" t="s">
        <v>36</v>
      </c>
      <c r="J931">
        <v>5</v>
      </c>
      <c r="K931" t="s">
        <v>68</v>
      </c>
      <c r="L931">
        <v>14</v>
      </c>
      <c r="M931" t="s">
        <v>91</v>
      </c>
      <c r="N931">
        <v>14500</v>
      </c>
      <c r="O931">
        <v>3</v>
      </c>
      <c r="P931">
        <v>43500</v>
      </c>
      <c r="Q931">
        <v>107.86</v>
      </c>
      <c r="R931" t="s">
        <v>46</v>
      </c>
      <c r="S931" t="s">
        <v>47</v>
      </c>
      <c r="T931">
        <f t="shared" si="56"/>
        <v>0</v>
      </c>
      <c r="U931" t="str">
        <f t="shared" si="57"/>
        <v>13-24 Months</v>
      </c>
    </row>
    <row r="932" spans="1:21">
      <c r="A932" t="s">
        <v>1361</v>
      </c>
      <c r="B932" t="s">
        <v>80</v>
      </c>
      <c r="C932" s="2" t="s">
        <v>892</v>
      </c>
      <c r="D932" s="2" t="str">
        <f t="shared" si="58"/>
        <v>Ifeanyi Ballard</v>
      </c>
      <c r="E932">
        <v>75</v>
      </c>
      <c r="F932" s="3" t="str">
        <f t="shared" si="59"/>
        <v>70-79</v>
      </c>
      <c r="G932" t="s">
        <v>56</v>
      </c>
      <c r="H932" t="s">
        <v>43</v>
      </c>
      <c r="I932" t="s">
        <v>26</v>
      </c>
      <c r="J932">
        <v>2</v>
      </c>
      <c r="K932" t="s">
        <v>27</v>
      </c>
      <c r="L932">
        <v>29</v>
      </c>
      <c r="M932" t="s">
        <v>45</v>
      </c>
      <c r="N932">
        <v>20000</v>
      </c>
      <c r="O932">
        <v>10</v>
      </c>
      <c r="P932">
        <v>200000</v>
      </c>
      <c r="Q932">
        <v>163.35</v>
      </c>
      <c r="R932" t="s">
        <v>46</v>
      </c>
      <c r="S932" t="s">
        <v>47</v>
      </c>
      <c r="T932">
        <f t="shared" si="56"/>
        <v>0</v>
      </c>
      <c r="U932" t="str">
        <f t="shared" si="57"/>
        <v>24+ Months</v>
      </c>
    </row>
    <row r="933" spans="1:21">
      <c r="A933" t="s">
        <v>1362</v>
      </c>
      <c r="B933" t="s">
        <v>80</v>
      </c>
      <c r="C933" s="2" t="s">
        <v>892</v>
      </c>
      <c r="D933" s="2" t="str">
        <f t="shared" si="58"/>
        <v>Ifeanyi Ballard</v>
      </c>
      <c r="E933">
        <v>75</v>
      </c>
      <c r="F933" s="3" t="str">
        <f t="shared" si="59"/>
        <v>70-79</v>
      </c>
      <c r="G933" t="s">
        <v>56</v>
      </c>
      <c r="H933" t="s">
        <v>51</v>
      </c>
      <c r="I933" t="s">
        <v>26</v>
      </c>
      <c r="J933">
        <v>2</v>
      </c>
      <c r="K933" t="s">
        <v>27</v>
      </c>
      <c r="L933">
        <v>29</v>
      </c>
      <c r="M933" t="s">
        <v>45</v>
      </c>
      <c r="N933">
        <v>20000</v>
      </c>
      <c r="O933">
        <v>16</v>
      </c>
      <c r="P933">
        <v>320000</v>
      </c>
      <c r="Q933">
        <v>47.23</v>
      </c>
      <c r="R933" t="s">
        <v>46</v>
      </c>
      <c r="S933" t="s">
        <v>47</v>
      </c>
      <c r="T933">
        <f t="shared" si="56"/>
        <v>0</v>
      </c>
      <c r="U933" t="str">
        <f t="shared" si="57"/>
        <v>24+ Months</v>
      </c>
    </row>
    <row r="934" spans="1:21" hidden="1">
      <c r="A934" t="s">
        <v>1363</v>
      </c>
      <c r="B934" t="s">
        <v>54</v>
      </c>
      <c r="C934" s="2" t="s">
        <v>76</v>
      </c>
      <c r="D934" s="2" t="str">
        <f t="shared" si="58"/>
        <v>Ejiro Stewart</v>
      </c>
      <c r="E934">
        <v>20</v>
      </c>
      <c r="F934" s="3" t="str">
        <f t="shared" si="59"/>
        <v>20-29</v>
      </c>
      <c r="G934" t="s">
        <v>263</v>
      </c>
      <c r="H934" t="s">
        <v>35</v>
      </c>
      <c r="I934" t="s">
        <v>36</v>
      </c>
      <c r="J934">
        <v>1</v>
      </c>
      <c r="K934" t="s">
        <v>44</v>
      </c>
      <c r="L934">
        <v>58</v>
      </c>
      <c r="M934" t="s">
        <v>264</v>
      </c>
      <c r="N934">
        <v>6500</v>
      </c>
      <c r="O934">
        <v>18</v>
      </c>
      <c r="P934">
        <v>117000</v>
      </c>
      <c r="Q934">
        <v>99.06</v>
      </c>
      <c r="R934" t="s">
        <v>29</v>
      </c>
      <c r="S934" t="s">
        <v>38</v>
      </c>
      <c r="T934">
        <f t="shared" si="56"/>
        <v>117000</v>
      </c>
      <c r="U934" t="str">
        <f t="shared" si="57"/>
        <v>24+ Months</v>
      </c>
    </row>
    <row r="935" spans="1:21" hidden="1">
      <c r="A935" t="s">
        <v>1364</v>
      </c>
      <c r="B935" t="s">
        <v>54</v>
      </c>
      <c r="C935" s="2" t="s">
        <v>76</v>
      </c>
      <c r="D935" s="2" t="str">
        <f t="shared" si="58"/>
        <v>Ejiro Stewart</v>
      </c>
      <c r="E935">
        <v>20</v>
      </c>
      <c r="F935" s="3" t="str">
        <f t="shared" si="59"/>
        <v>20-29</v>
      </c>
      <c r="G935" t="s">
        <v>263</v>
      </c>
      <c r="H935" t="s">
        <v>51</v>
      </c>
      <c r="I935" t="s">
        <v>36</v>
      </c>
      <c r="J935">
        <v>1</v>
      </c>
      <c r="K935" t="s">
        <v>44</v>
      </c>
      <c r="L935">
        <v>58</v>
      </c>
      <c r="M935" t="s">
        <v>45</v>
      </c>
      <c r="N935">
        <v>20000</v>
      </c>
      <c r="O935">
        <v>19</v>
      </c>
      <c r="P935">
        <v>380000</v>
      </c>
      <c r="Q935">
        <v>132.13999999999999</v>
      </c>
      <c r="R935" t="s">
        <v>29</v>
      </c>
      <c r="S935" t="s">
        <v>38</v>
      </c>
      <c r="T935">
        <f t="shared" si="56"/>
        <v>380000</v>
      </c>
      <c r="U935" t="str">
        <f t="shared" si="57"/>
        <v>24+ Months</v>
      </c>
    </row>
    <row r="936" spans="1:21" hidden="1">
      <c r="A936" t="s">
        <v>1365</v>
      </c>
      <c r="B936" t="s">
        <v>54</v>
      </c>
      <c r="C936" s="2" t="s">
        <v>76</v>
      </c>
      <c r="D936" s="2" t="str">
        <f t="shared" si="58"/>
        <v>Ejiro Stewart</v>
      </c>
      <c r="E936">
        <v>20</v>
      </c>
      <c r="F936" s="3" t="str">
        <f t="shared" si="59"/>
        <v>20-29</v>
      </c>
      <c r="G936" t="s">
        <v>263</v>
      </c>
      <c r="H936" t="s">
        <v>25</v>
      </c>
      <c r="I936" t="s">
        <v>36</v>
      </c>
      <c r="J936">
        <v>1</v>
      </c>
      <c r="K936" t="s">
        <v>44</v>
      </c>
      <c r="L936">
        <v>58</v>
      </c>
      <c r="M936" t="s">
        <v>57</v>
      </c>
      <c r="N936">
        <v>4500</v>
      </c>
      <c r="O936">
        <v>5</v>
      </c>
      <c r="P936">
        <v>22500</v>
      </c>
      <c r="Q936">
        <v>13.54</v>
      </c>
      <c r="R936" t="s">
        <v>29</v>
      </c>
      <c r="S936" t="s">
        <v>38</v>
      </c>
      <c r="T936">
        <f t="shared" si="56"/>
        <v>22500</v>
      </c>
      <c r="U936" t="str">
        <f t="shared" si="57"/>
        <v>24+ Months</v>
      </c>
    </row>
    <row r="937" spans="1:21">
      <c r="A937" t="s">
        <v>1366</v>
      </c>
      <c r="B937" t="s">
        <v>121</v>
      </c>
      <c r="C937" s="2" t="s">
        <v>1367</v>
      </c>
      <c r="D937" s="2" t="str">
        <f t="shared" si="58"/>
        <v>Kunle Goodwin</v>
      </c>
      <c r="E937">
        <v>32</v>
      </c>
      <c r="F937" s="3" t="str">
        <f t="shared" si="59"/>
        <v>30-39</v>
      </c>
      <c r="G937" t="s">
        <v>197</v>
      </c>
      <c r="H937" t="s">
        <v>43</v>
      </c>
      <c r="I937" t="s">
        <v>26</v>
      </c>
      <c r="J937">
        <v>2</v>
      </c>
      <c r="K937" t="s">
        <v>27</v>
      </c>
      <c r="L937">
        <v>57</v>
      </c>
      <c r="M937" t="s">
        <v>71</v>
      </c>
      <c r="N937">
        <v>150000</v>
      </c>
      <c r="O937">
        <v>14</v>
      </c>
      <c r="P937">
        <v>2100000</v>
      </c>
      <c r="Q937">
        <v>0.89</v>
      </c>
      <c r="R937" t="s">
        <v>46</v>
      </c>
      <c r="S937" t="s">
        <v>47</v>
      </c>
      <c r="T937">
        <f t="shared" si="56"/>
        <v>0</v>
      </c>
      <c r="U937" t="str">
        <f t="shared" si="57"/>
        <v>24+ Months</v>
      </c>
    </row>
    <row r="938" spans="1:21">
      <c r="A938" t="s">
        <v>1368</v>
      </c>
      <c r="B938" t="s">
        <v>447</v>
      </c>
      <c r="C938" s="2" t="s">
        <v>141</v>
      </c>
      <c r="D938" s="2" t="str">
        <f t="shared" si="58"/>
        <v>Sade Reed</v>
      </c>
      <c r="E938">
        <v>57</v>
      </c>
      <c r="F938" s="3" t="str">
        <f t="shared" si="59"/>
        <v>50-59</v>
      </c>
      <c r="G938" t="s">
        <v>24</v>
      </c>
      <c r="H938" t="s">
        <v>51</v>
      </c>
      <c r="I938" t="s">
        <v>36</v>
      </c>
      <c r="J938">
        <v>5</v>
      </c>
      <c r="K938" t="s">
        <v>68</v>
      </c>
      <c r="L938">
        <v>18</v>
      </c>
      <c r="M938" t="s">
        <v>45</v>
      </c>
      <c r="N938">
        <v>20000</v>
      </c>
      <c r="O938">
        <v>14</v>
      </c>
      <c r="P938">
        <v>280000</v>
      </c>
      <c r="Q938">
        <v>9.8699999999999992</v>
      </c>
      <c r="R938" t="s">
        <v>46</v>
      </c>
      <c r="S938" t="s">
        <v>47</v>
      </c>
      <c r="T938">
        <f t="shared" si="56"/>
        <v>0</v>
      </c>
      <c r="U938" t="str">
        <f t="shared" si="57"/>
        <v>13-24 Months</v>
      </c>
    </row>
    <row r="939" spans="1:21">
      <c r="A939" t="s">
        <v>1369</v>
      </c>
      <c r="B939" t="s">
        <v>447</v>
      </c>
      <c r="C939" s="2" t="s">
        <v>141</v>
      </c>
      <c r="D939" s="2" t="str">
        <f t="shared" si="58"/>
        <v>Sade Reed</v>
      </c>
      <c r="E939">
        <v>57</v>
      </c>
      <c r="F939" s="3" t="str">
        <f t="shared" si="59"/>
        <v>50-59</v>
      </c>
      <c r="G939" t="s">
        <v>24</v>
      </c>
      <c r="H939" t="s">
        <v>43</v>
      </c>
      <c r="I939" t="s">
        <v>36</v>
      </c>
      <c r="J939">
        <v>5</v>
      </c>
      <c r="K939" t="s">
        <v>68</v>
      </c>
      <c r="L939">
        <v>18</v>
      </c>
      <c r="M939" t="s">
        <v>71</v>
      </c>
      <c r="N939">
        <v>150000</v>
      </c>
      <c r="O939">
        <v>13</v>
      </c>
      <c r="P939">
        <v>1950000</v>
      </c>
      <c r="Q939">
        <v>63.59</v>
      </c>
      <c r="R939" t="s">
        <v>46</v>
      </c>
      <c r="S939" t="s">
        <v>47</v>
      </c>
      <c r="T939">
        <f t="shared" si="56"/>
        <v>0</v>
      </c>
      <c r="U939" t="str">
        <f t="shared" si="57"/>
        <v>13-24 Months</v>
      </c>
    </row>
    <row r="940" spans="1:21">
      <c r="A940" t="s">
        <v>1370</v>
      </c>
      <c r="B940" t="s">
        <v>84</v>
      </c>
      <c r="C940" s="2" t="s">
        <v>1074</v>
      </c>
      <c r="D940" s="2" t="str">
        <f t="shared" si="58"/>
        <v>Bala Gibson</v>
      </c>
      <c r="E940">
        <v>58</v>
      </c>
      <c r="F940" s="3" t="str">
        <f t="shared" si="59"/>
        <v>50-59</v>
      </c>
      <c r="G940" t="s">
        <v>415</v>
      </c>
      <c r="H940" t="s">
        <v>25</v>
      </c>
      <c r="I940" t="s">
        <v>26</v>
      </c>
      <c r="J940">
        <v>4</v>
      </c>
      <c r="K940" t="s">
        <v>155</v>
      </c>
      <c r="L940">
        <v>48</v>
      </c>
      <c r="M940" t="s">
        <v>57</v>
      </c>
      <c r="N940">
        <v>4500</v>
      </c>
      <c r="O940">
        <v>3</v>
      </c>
      <c r="P940">
        <v>13500</v>
      </c>
      <c r="Q940">
        <v>66.180000000000007</v>
      </c>
      <c r="R940" t="s">
        <v>46</v>
      </c>
      <c r="S940" t="s">
        <v>47</v>
      </c>
      <c r="T940">
        <f t="shared" si="56"/>
        <v>0</v>
      </c>
      <c r="U940" t="str">
        <f t="shared" si="57"/>
        <v>24+ Months</v>
      </c>
    </row>
    <row r="941" spans="1:21">
      <c r="A941" t="s">
        <v>1371</v>
      </c>
      <c r="B941" t="s">
        <v>22</v>
      </c>
      <c r="C941" s="2" t="s">
        <v>1372</v>
      </c>
      <c r="D941" s="2" t="str">
        <f t="shared" si="58"/>
        <v>Ngozi Chan</v>
      </c>
      <c r="E941">
        <v>76</v>
      </c>
      <c r="F941" s="3" t="str">
        <f t="shared" si="59"/>
        <v>70-79</v>
      </c>
      <c r="G941" t="s">
        <v>89</v>
      </c>
      <c r="H941" t="s">
        <v>51</v>
      </c>
      <c r="I941" t="s">
        <v>36</v>
      </c>
      <c r="J941">
        <v>3</v>
      </c>
      <c r="K941" t="s">
        <v>62</v>
      </c>
      <c r="L941">
        <v>54</v>
      </c>
      <c r="M941" t="s">
        <v>78</v>
      </c>
      <c r="N941">
        <v>24000</v>
      </c>
      <c r="O941">
        <v>4</v>
      </c>
      <c r="P941">
        <v>96000</v>
      </c>
      <c r="Q941">
        <v>124.1</v>
      </c>
      <c r="R941" t="s">
        <v>46</v>
      </c>
      <c r="S941" t="s">
        <v>47</v>
      </c>
      <c r="T941">
        <f t="shared" si="56"/>
        <v>0</v>
      </c>
      <c r="U941" t="str">
        <f t="shared" si="57"/>
        <v>24+ Months</v>
      </c>
    </row>
    <row r="942" spans="1:21">
      <c r="A942" t="s">
        <v>1373</v>
      </c>
      <c r="B942" t="s">
        <v>182</v>
      </c>
      <c r="C942" s="2" t="s">
        <v>196</v>
      </c>
      <c r="D942" s="2" t="str">
        <f t="shared" si="58"/>
        <v>Alabo Anderson</v>
      </c>
      <c r="E942">
        <v>31</v>
      </c>
      <c r="F942" s="3" t="str">
        <f t="shared" si="59"/>
        <v>30-39</v>
      </c>
      <c r="G942" t="s">
        <v>415</v>
      </c>
      <c r="H942" t="s">
        <v>51</v>
      </c>
      <c r="I942" t="s">
        <v>26</v>
      </c>
      <c r="J942">
        <v>4</v>
      </c>
      <c r="K942" t="s">
        <v>155</v>
      </c>
      <c r="L942">
        <v>59</v>
      </c>
      <c r="M942" t="s">
        <v>91</v>
      </c>
      <c r="N942">
        <v>14500</v>
      </c>
      <c r="O942">
        <v>20</v>
      </c>
      <c r="P942">
        <v>290000</v>
      </c>
      <c r="Q942">
        <v>11.43</v>
      </c>
      <c r="R942" t="s">
        <v>46</v>
      </c>
      <c r="S942" t="s">
        <v>47</v>
      </c>
      <c r="T942">
        <f t="shared" si="56"/>
        <v>0</v>
      </c>
      <c r="U942" t="str">
        <f t="shared" si="57"/>
        <v>24+ Months</v>
      </c>
    </row>
    <row r="943" spans="1:21">
      <c r="A943" t="s">
        <v>1374</v>
      </c>
      <c r="B943" t="s">
        <v>182</v>
      </c>
      <c r="C943" s="2" t="s">
        <v>196</v>
      </c>
      <c r="D943" s="2" t="str">
        <f t="shared" si="58"/>
        <v>Alabo Anderson</v>
      </c>
      <c r="E943">
        <v>31</v>
      </c>
      <c r="F943" s="3" t="str">
        <f t="shared" si="59"/>
        <v>30-39</v>
      </c>
      <c r="G943" t="s">
        <v>415</v>
      </c>
      <c r="H943" t="s">
        <v>35</v>
      </c>
      <c r="I943" t="s">
        <v>26</v>
      </c>
      <c r="J943">
        <v>4</v>
      </c>
      <c r="K943" t="s">
        <v>155</v>
      </c>
      <c r="L943">
        <v>59</v>
      </c>
      <c r="M943" t="s">
        <v>113</v>
      </c>
      <c r="N943">
        <v>7500</v>
      </c>
      <c r="O943">
        <v>2</v>
      </c>
      <c r="P943">
        <v>15000</v>
      </c>
      <c r="Q943">
        <v>13.63</v>
      </c>
      <c r="R943" t="s">
        <v>46</v>
      </c>
      <c r="S943" t="s">
        <v>47</v>
      </c>
      <c r="T943">
        <f t="shared" si="56"/>
        <v>0</v>
      </c>
      <c r="U943" t="str">
        <f t="shared" si="57"/>
        <v>24+ Months</v>
      </c>
    </row>
    <row r="944" spans="1:21">
      <c r="A944" t="s">
        <v>1375</v>
      </c>
      <c r="B944" t="s">
        <v>182</v>
      </c>
      <c r="C944" s="2" t="s">
        <v>196</v>
      </c>
      <c r="D944" s="2" t="str">
        <f t="shared" si="58"/>
        <v>Alabo Anderson</v>
      </c>
      <c r="E944">
        <v>31</v>
      </c>
      <c r="F944" s="3" t="str">
        <f t="shared" si="59"/>
        <v>30-39</v>
      </c>
      <c r="G944" t="s">
        <v>415</v>
      </c>
      <c r="H944" t="s">
        <v>43</v>
      </c>
      <c r="I944" t="s">
        <v>26</v>
      </c>
      <c r="J944">
        <v>4</v>
      </c>
      <c r="K944" t="s">
        <v>155</v>
      </c>
      <c r="L944">
        <v>59</v>
      </c>
      <c r="M944" t="s">
        <v>52</v>
      </c>
      <c r="N944">
        <v>9000</v>
      </c>
      <c r="O944">
        <v>13</v>
      </c>
      <c r="P944">
        <v>117000</v>
      </c>
      <c r="Q944">
        <v>59.34</v>
      </c>
      <c r="R944" t="s">
        <v>46</v>
      </c>
      <c r="S944" t="s">
        <v>47</v>
      </c>
      <c r="T944">
        <f t="shared" si="56"/>
        <v>0</v>
      </c>
      <c r="U944" t="str">
        <f t="shared" si="57"/>
        <v>24+ Months</v>
      </c>
    </row>
    <row r="945" spans="1:21">
      <c r="A945" t="s">
        <v>1376</v>
      </c>
      <c r="B945" t="s">
        <v>65</v>
      </c>
      <c r="C945" s="2" t="s">
        <v>1293</v>
      </c>
      <c r="D945" s="2" t="str">
        <f t="shared" si="58"/>
        <v>Tamuno Hudson</v>
      </c>
      <c r="E945">
        <v>28</v>
      </c>
      <c r="F945" s="3" t="str">
        <f t="shared" si="59"/>
        <v>20-29</v>
      </c>
      <c r="G945" t="s">
        <v>151</v>
      </c>
      <c r="H945" t="s">
        <v>51</v>
      </c>
      <c r="I945" t="s">
        <v>26</v>
      </c>
      <c r="J945">
        <v>4</v>
      </c>
      <c r="K945" t="s">
        <v>155</v>
      </c>
      <c r="L945">
        <v>56</v>
      </c>
      <c r="M945" t="s">
        <v>52</v>
      </c>
      <c r="N945">
        <v>9000</v>
      </c>
      <c r="O945">
        <v>11</v>
      </c>
      <c r="P945">
        <v>99000</v>
      </c>
      <c r="Q945">
        <v>91.09</v>
      </c>
      <c r="R945" t="s">
        <v>46</v>
      </c>
      <c r="S945" t="s">
        <v>47</v>
      </c>
      <c r="T945">
        <f t="shared" si="56"/>
        <v>0</v>
      </c>
      <c r="U945" t="str">
        <f t="shared" si="57"/>
        <v>24+ Months</v>
      </c>
    </row>
    <row r="946" spans="1:21">
      <c r="A946" t="s">
        <v>1377</v>
      </c>
      <c r="B946" t="s">
        <v>65</v>
      </c>
      <c r="C946" s="2" t="s">
        <v>1293</v>
      </c>
      <c r="D946" s="2" t="str">
        <f t="shared" si="58"/>
        <v>Tamuno Hudson</v>
      </c>
      <c r="E946">
        <v>28</v>
      </c>
      <c r="F946" s="3" t="str">
        <f t="shared" si="59"/>
        <v>20-29</v>
      </c>
      <c r="G946" t="s">
        <v>151</v>
      </c>
      <c r="H946" t="s">
        <v>25</v>
      </c>
      <c r="I946" t="s">
        <v>26</v>
      </c>
      <c r="J946">
        <v>4</v>
      </c>
      <c r="K946" t="s">
        <v>155</v>
      </c>
      <c r="L946">
        <v>56</v>
      </c>
      <c r="M946" t="s">
        <v>57</v>
      </c>
      <c r="N946">
        <v>4500</v>
      </c>
      <c r="O946">
        <v>1</v>
      </c>
      <c r="P946">
        <v>4500</v>
      </c>
      <c r="Q946">
        <v>22.05</v>
      </c>
      <c r="R946" t="s">
        <v>46</v>
      </c>
      <c r="S946" t="s">
        <v>47</v>
      </c>
      <c r="T946">
        <f t="shared" si="56"/>
        <v>0</v>
      </c>
      <c r="U946" t="str">
        <f t="shared" si="57"/>
        <v>24+ Months</v>
      </c>
    </row>
    <row r="947" spans="1:21">
      <c r="A947" t="s">
        <v>1378</v>
      </c>
      <c r="B947" t="s">
        <v>121</v>
      </c>
      <c r="C947" s="2" t="s">
        <v>1379</v>
      </c>
      <c r="D947" s="2" t="str">
        <f t="shared" si="58"/>
        <v>Kunle Gilmore</v>
      </c>
      <c r="E947">
        <v>40</v>
      </c>
      <c r="F947" s="3" t="str">
        <f t="shared" si="59"/>
        <v>40-49</v>
      </c>
      <c r="G947" t="s">
        <v>194</v>
      </c>
      <c r="H947" t="s">
        <v>25</v>
      </c>
      <c r="I947" t="s">
        <v>36</v>
      </c>
      <c r="J947">
        <v>4</v>
      </c>
      <c r="K947" t="s">
        <v>155</v>
      </c>
      <c r="L947">
        <v>23</v>
      </c>
      <c r="M947" t="s">
        <v>57</v>
      </c>
      <c r="N947">
        <v>4500</v>
      </c>
      <c r="O947">
        <v>2</v>
      </c>
      <c r="P947">
        <v>9000</v>
      </c>
      <c r="Q947">
        <v>159.51</v>
      </c>
      <c r="R947" t="s">
        <v>46</v>
      </c>
      <c r="S947" t="s">
        <v>47</v>
      </c>
      <c r="T947">
        <f t="shared" si="56"/>
        <v>0</v>
      </c>
      <c r="U947" t="str">
        <f t="shared" si="57"/>
        <v>13-24 Months</v>
      </c>
    </row>
    <row r="948" spans="1:21">
      <c r="A948" t="s">
        <v>1380</v>
      </c>
      <c r="B948" t="s">
        <v>121</v>
      </c>
      <c r="C948" s="2" t="s">
        <v>1379</v>
      </c>
      <c r="D948" s="2" t="str">
        <f t="shared" si="58"/>
        <v>Kunle Gilmore</v>
      </c>
      <c r="E948">
        <v>40</v>
      </c>
      <c r="F948" s="3" t="str">
        <f t="shared" si="59"/>
        <v>40-49</v>
      </c>
      <c r="G948" t="s">
        <v>194</v>
      </c>
      <c r="H948" t="s">
        <v>51</v>
      </c>
      <c r="I948" t="s">
        <v>36</v>
      </c>
      <c r="J948">
        <v>4</v>
      </c>
      <c r="K948" t="s">
        <v>155</v>
      </c>
      <c r="L948">
        <v>23</v>
      </c>
      <c r="M948" t="s">
        <v>45</v>
      </c>
      <c r="N948">
        <v>20000</v>
      </c>
      <c r="O948">
        <v>14</v>
      </c>
      <c r="P948">
        <v>280000</v>
      </c>
      <c r="Q948">
        <v>62.68</v>
      </c>
      <c r="R948" t="s">
        <v>46</v>
      </c>
      <c r="S948" t="s">
        <v>47</v>
      </c>
      <c r="T948">
        <f t="shared" si="56"/>
        <v>0</v>
      </c>
      <c r="U948" t="str">
        <f t="shared" si="57"/>
        <v>13-24 Months</v>
      </c>
    </row>
    <row r="949" spans="1:21">
      <c r="A949" t="s">
        <v>1381</v>
      </c>
      <c r="B949" t="s">
        <v>345</v>
      </c>
      <c r="C949" s="2" t="s">
        <v>606</v>
      </c>
      <c r="D949" s="2" t="str">
        <f t="shared" si="58"/>
        <v>Michael Jones</v>
      </c>
      <c r="E949">
        <v>61</v>
      </c>
      <c r="F949" s="3" t="str">
        <f t="shared" si="59"/>
        <v>60-69</v>
      </c>
      <c r="G949" t="s">
        <v>206</v>
      </c>
      <c r="H949" t="s">
        <v>43</v>
      </c>
      <c r="I949" t="s">
        <v>26</v>
      </c>
      <c r="J949">
        <v>3</v>
      </c>
      <c r="K949" t="s">
        <v>62</v>
      </c>
      <c r="L949">
        <v>10</v>
      </c>
      <c r="M949" t="s">
        <v>82</v>
      </c>
      <c r="N949">
        <v>30000</v>
      </c>
      <c r="O949">
        <v>17</v>
      </c>
      <c r="P949">
        <v>510000</v>
      </c>
      <c r="Q949">
        <v>11.93</v>
      </c>
      <c r="R949" t="s">
        <v>46</v>
      </c>
      <c r="S949" t="s">
        <v>47</v>
      </c>
      <c r="T949">
        <f t="shared" ref="T949:T975" si="60">IF(R949="Yes",P949,0)</f>
        <v>0</v>
      </c>
      <c r="U949" t="str">
        <f>IF(L949&lt;=6,"0-6 Months",
IF(L949&lt;=12,"7-12 Months",
IF(L949&lt;=24,"13-24 Months","24+ Months")))</f>
        <v>7-12 Months</v>
      </c>
    </row>
    <row r="950" spans="1:21">
      <c r="A950" t="s">
        <v>1382</v>
      </c>
      <c r="B950" t="s">
        <v>345</v>
      </c>
      <c r="C950" s="2" t="s">
        <v>606</v>
      </c>
      <c r="D950" s="2" t="str">
        <f t="shared" si="58"/>
        <v>Michael Jones</v>
      </c>
      <c r="E950">
        <v>61</v>
      </c>
      <c r="F950" s="3" t="str">
        <f t="shared" si="59"/>
        <v>60-69</v>
      </c>
      <c r="G950" t="s">
        <v>206</v>
      </c>
      <c r="H950" t="s">
        <v>51</v>
      </c>
      <c r="I950" t="s">
        <v>26</v>
      </c>
      <c r="J950">
        <v>3</v>
      </c>
      <c r="K950" t="s">
        <v>62</v>
      </c>
      <c r="L950">
        <v>10</v>
      </c>
      <c r="M950" t="s">
        <v>78</v>
      </c>
      <c r="N950">
        <v>24000</v>
      </c>
      <c r="O950">
        <v>14</v>
      </c>
      <c r="P950">
        <v>336000</v>
      </c>
      <c r="Q950">
        <v>171.81</v>
      </c>
      <c r="R950" t="s">
        <v>46</v>
      </c>
      <c r="S950" t="s">
        <v>47</v>
      </c>
      <c r="T950">
        <f t="shared" si="60"/>
        <v>0</v>
      </c>
      <c r="U950" t="str">
        <f>IF(L950&lt;=6,"0-6 Months",
IF(L950&lt;=12,"7-12 Months",
IF(L950&lt;=24,"13-24 Months","24+ Months")))</f>
        <v>7-12 Months</v>
      </c>
    </row>
    <row r="951" spans="1:21" hidden="1">
      <c r="A951" t="s">
        <v>1383</v>
      </c>
      <c r="B951" t="s">
        <v>146</v>
      </c>
      <c r="C951" s="2" t="s">
        <v>566</v>
      </c>
      <c r="D951" s="2" t="str">
        <f t="shared" si="58"/>
        <v>Oghene Wilson</v>
      </c>
      <c r="E951">
        <v>41</v>
      </c>
      <c r="F951" s="3" t="str">
        <f t="shared" si="59"/>
        <v>40-49</v>
      </c>
      <c r="G951" t="s">
        <v>162</v>
      </c>
      <c r="H951" t="s">
        <v>35</v>
      </c>
      <c r="I951" t="s">
        <v>26</v>
      </c>
      <c r="J951">
        <v>3</v>
      </c>
      <c r="K951" t="s">
        <v>62</v>
      </c>
      <c r="L951">
        <v>51</v>
      </c>
      <c r="M951" t="s">
        <v>69</v>
      </c>
      <c r="N951">
        <v>3500</v>
      </c>
      <c r="O951">
        <v>14</v>
      </c>
      <c r="P951">
        <v>49000</v>
      </c>
      <c r="Q951">
        <v>123.41</v>
      </c>
      <c r="R951" t="s">
        <v>29</v>
      </c>
      <c r="S951" t="s">
        <v>229</v>
      </c>
      <c r="T951">
        <f t="shared" si="60"/>
        <v>49000</v>
      </c>
      <c r="U951" t="str">
        <f>IF(L951&lt;=6,"0-6 Months",
IF(L951&lt;=12,"7-12 Months",
IF(L951&lt;=24,"13-24 Months","24+ Months")))</f>
        <v>24+ Months</v>
      </c>
    </row>
    <row r="952" spans="1:21" hidden="1">
      <c r="A952" t="s">
        <v>1384</v>
      </c>
      <c r="B952" t="s">
        <v>146</v>
      </c>
      <c r="C952" s="2" t="s">
        <v>566</v>
      </c>
      <c r="D952" s="2" t="str">
        <f t="shared" si="58"/>
        <v>Oghene Wilson</v>
      </c>
      <c r="E952">
        <v>41</v>
      </c>
      <c r="F952" s="3" t="str">
        <f t="shared" si="59"/>
        <v>40-49</v>
      </c>
      <c r="G952" t="s">
        <v>162</v>
      </c>
      <c r="H952" t="s">
        <v>43</v>
      </c>
      <c r="I952" t="s">
        <v>26</v>
      </c>
      <c r="J952">
        <v>3</v>
      </c>
      <c r="K952" t="s">
        <v>62</v>
      </c>
      <c r="L952">
        <v>51</v>
      </c>
      <c r="M952" t="s">
        <v>156</v>
      </c>
      <c r="N952">
        <v>25000</v>
      </c>
      <c r="O952">
        <v>15</v>
      </c>
      <c r="P952">
        <v>375000</v>
      </c>
      <c r="Q952">
        <v>32.869999999999997</v>
      </c>
      <c r="R952" t="s">
        <v>29</v>
      </c>
      <c r="S952" t="s">
        <v>229</v>
      </c>
      <c r="T952">
        <f t="shared" si="60"/>
        <v>375000</v>
      </c>
      <c r="U952" t="str">
        <f>IF(L952&lt;L952=6,"0-6 Months",
IF(L952&lt;=12,"7-12 Months",
IF(L952&lt;=24,"13-24 Months","24+ Months")))</f>
        <v>24+ Months</v>
      </c>
    </row>
    <row r="953" spans="1:21" hidden="1">
      <c r="A953" t="s">
        <v>1385</v>
      </c>
      <c r="B953" t="s">
        <v>146</v>
      </c>
      <c r="C953" s="2" t="s">
        <v>566</v>
      </c>
      <c r="D953" s="2" t="str">
        <f t="shared" si="58"/>
        <v>Oghene Wilson</v>
      </c>
      <c r="E953">
        <v>41</v>
      </c>
      <c r="F953" s="3" t="str">
        <f t="shared" si="59"/>
        <v>40-49</v>
      </c>
      <c r="G953" t="s">
        <v>162</v>
      </c>
      <c r="H953" t="s">
        <v>25</v>
      </c>
      <c r="I953" t="s">
        <v>26</v>
      </c>
      <c r="J953">
        <v>3</v>
      </c>
      <c r="K953" t="s">
        <v>62</v>
      </c>
      <c r="L953">
        <v>51</v>
      </c>
      <c r="M953" t="s">
        <v>73</v>
      </c>
      <c r="N953">
        <v>16000</v>
      </c>
      <c r="O953">
        <v>1</v>
      </c>
      <c r="P953">
        <v>16000</v>
      </c>
      <c r="Q953">
        <v>99.44</v>
      </c>
      <c r="R953" t="s">
        <v>29</v>
      </c>
      <c r="S953" t="s">
        <v>229</v>
      </c>
      <c r="T953">
        <f t="shared" si="60"/>
        <v>16000</v>
      </c>
      <c r="U953" t="str">
        <f t="shared" ref="U953:U975" si="61">IF(L953&lt;=6,"0-6 Months",
IF(L953&lt;=12,"7-12 Months",
IF(L953&lt;=24,"13-24 Months","24+ Months")))</f>
        <v>24+ Months</v>
      </c>
    </row>
    <row r="954" spans="1:21">
      <c r="A954" t="s">
        <v>1386</v>
      </c>
      <c r="B954" t="s">
        <v>59</v>
      </c>
      <c r="C954" s="2" t="s">
        <v>1387</v>
      </c>
      <c r="D954" s="2" t="str">
        <f t="shared" si="58"/>
        <v>Nura Cox</v>
      </c>
      <c r="E954">
        <v>45</v>
      </c>
      <c r="F954" s="3" t="str">
        <f t="shared" si="59"/>
        <v>40-49</v>
      </c>
      <c r="G954" t="s">
        <v>42</v>
      </c>
      <c r="H954" t="s">
        <v>25</v>
      </c>
      <c r="I954" t="s">
        <v>26</v>
      </c>
      <c r="J954">
        <v>3</v>
      </c>
      <c r="K954" t="s">
        <v>62</v>
      </c>
      <c r="L954">
        <v>16</v>
      </c>
      <c r="M954" t="s">
        <v>57</v>
      </c>
      <c r="N954">
        <v>4500</v>
      </c>
      <c r="O954">
        <v>1</v>
      </c>
      <c r="P954">
        <v>4500</v>
      </c>
      <c r="Q954">
        <v>165.3</v>
      </c>
      <c r="R954" t="s">
        <v>46</v>
      </c>
      <c r="S954" t="s">
        <v>47</v>
      </c>
      <c r="T954">
        <f t="shared" si="60"/>
        <v>0</v>
      </c>
      <c r="U954" t="str">
        <f t="shared" si="61"/>
        <v>13-24 Months</v>
      </c>
    </row>
    <row r="955" spans="1:21">
      <c r="A955" t="s">
        <v>1388</v>
      </c>
      <c r="B955" t="s">
        <v>59</v>
      </c>
      <c r="C955" s="2" t="s">
        <v>1387</v>
      </c>
      <c r="D955" s="2" t="str">
        <f t="shared" si="58"/>
        <v>Nura Cox</v>
      </c>
      <c r="E955">
        <v>45</v>
      </c>
      <c r="F955" s="3" t="str">
        <f t="shared" si="59"/>
        <v>40-49</v>
      </c>
      <c r="G955" t="s">
        <v>42</v>
      </c>
      <c r="H955" t="s">
        <v>35</v>
      </c>
      <c r="I955" t="s">
        <v>26</v>
      </c>
      <c r="J955">
        <v>3</v>
      </c>
      <c r="K955" t="s">
        <v>62</v>
      </c>
      <c r="L955">
        <v>16</v>
      </c>
      <c r="M955" t="s">
        <v>69</v>
      </c>
      <c r="N955">
        <v>3500</v>
      </c>
      <c r="O955">
        <v>12</v>
      </c>
      <c r="P955">
        <v>42000</v>
      </c>
      <c r="Q955">
        <v>2.4700000000000002</v>
      </c>
      <c r="R955" t="s">
        <v>46</v>
      </c>
      <c r="S955" t="s">
        <v>47</v>
      </c>
      <c r="T955">
        <f t="shared" si="60"/>
        <v>0</v>
      </c>
      <c r="U955" t="str">
        <f t="shared" si="61"/>
        <v>13-24 Months</v>
      </c>
    </row>
    <row r="956" spans="1:21">
      <c r="A956" t="s">
        <v>1389</v>
      </c>
      <c r="B956" t="s">
        <v>490</v>
      </c>
      <c r="C956" s="2" t="s">
        <v>268</v>
      </c>
      <c r="D956" s="2" t="str">
        <f t="shared" si="58"/>
        <v>Funke Smith</v>
      </c>
      <c r="E956">
        <v>30</v>
      </c>
      <c r="F956" s="3" t="str">
        <f t="shared" si="59"/>
        <v>30-39</v>
      </c>
      <c r="G956" t="s">
        <v>67</v>
      </c>
      <c r="H956" t="s">
        <v>51</v>
      </c>
      <c r="I956" t="s">
        <v>36</v>
      </c>
      <c r="J956">
        <v>5</v>
      </c>
      <c r="K956" t="s">
        <v>68</v>
      </c>
      <c r="L956">
        <v>29</v>
      </c>
      <c r="M956" t="s">
        <v>45</v>
      </c>
      <c r="N956">
        <v>20000</v>
      </c>
      <c r="O956">
        <v>6</v>
      </c>
      <c r="P956">
        <v>120000</v>
      </c>
      <c r="Q956">
        <v>39.97</v>
      </c>
      <c r="R956" t="s">
        <v>46</v>
      </c>
      <c r="S956" t="s">
        <v>47</v>
      </c>
      <c r="T956">
        <f t="shared" si="60"/>
        <v>0</v>
      </c>
      <c r="U956" t="str">
        <f t="shared" si="61"/>
        <v>24+ Months</v>
      </c>
    </row>
    <row r="957" spans="1:21">
      <c r="A957" t="s">
        <v>1390</v>
      </c>
      <c r="B957" t="s">
        <v>490</v>
      </c>
      <c r="C957" s="2" t="s">
        <v>268</v>
      </c>
      <c r="D957" s="2" t="str">
        <f t="shared" si="58"/>
        <v>Funke Smith</v>
      </c>
      <c r="E957">
        <v>30</v>
      </c>
      <c r="F957" s="3" t="str">
        <f t="shared" si="59"/>
        <v>30-39</v>
      </c>
      <c r="G957" t="s">
        <v>67</v>
      </c>
      <c r="H957" t="s">
        <v>35</v>
      </c>
      <c r="I957" t="s">
        <v>36</v>
      </c>
      <c r="J957">
        <v>5</v>
      </c>
      <c r="K957" t="s">
        <v>68</v>
      </c>
      <c r="L957">
        <v>29</v>
      </c>
      <c r="M957" t="s">
        <v>93</v>
      </c>
      <c r="N957">
        <v>350</v>
      </c>
      <c r="O957">
        <v>6</v>
      </c>
      <c r="P957">
        <v>2100</v>
      </c>
      <c r="Q957">
        <v>177.13</v>
      </c>
      <c r="R957" t="s">
        <v>46</v>
      </c>
      <c r="S957" t="s">
        <v>47</v>
      </c>
      <c r="T957">
        <f t="shared" si="60"/>
        <v>0</v>
      </c>
      <c r="U957" t="str">
        <f t="shared" si="61"/>
        <v>24+ Months</v>
      </c>
    </row>
    <row r="958" spans="1:21">
      <c r="A958" t="s">
        <v>1391</v>
      </c>
      <c r="B958" t="s">
        <v>249</v>
      </c>
      <c r="C958" s="2" t="s">
        <v>1392</v>
      </c>
      <c r="D958" s="2" t="str">
        <f t="shared" si="58"/>
        <v>Tega Kim</v>
      </c>
      <c r="E958">
        <v>47</v>
      </c>
      <c r="F958" s="3" t="str">
        <f t="shared" si="59"/>
        <v>40-49</v>
      </c>
      <c r="G958" t="s">
        <v>179</v>
      </c>
      <c r="H958" t="s">
        <v>25</v>
      </c>
      <c r="I958" t="s">
        <v>26</v>
      </c>
      <c r="J958">
        <v>3</v>
      </c>
      <c r="K958" t="s">
        <v>62</v>
      </c>
      <c r="L958">
        <v>2</v>
      </c>
      <c r="M958" t="s">
        <v>28</v>
      </c>
      <c r="N958">
        <v>35000</v>
      </c>
      <c r="O958">
        <v>4</v>
      </c>
      <c r="P958">
        <v>140000</v>
      </c>
      <c r="Q958">
        <v>131.15</v>
      </c>
      <c r="R958" t="s">
        <v>46</v>
      </c>
      <c r="S958" t="s">
        <v>47</v>
      </c>
      <c r="T958">
        <f t="shared" si="60"/>
        <v>0</v>
      </c>
      <c r="U958" t="str">
        <f t="shared" si="61"/>
        <v>0-6 Months</v>
      </c>
    </row>
    <row r="959" spans="1:21">
      <c r="A959" t="s">
        <v>1393</v>
      </c>
      <c r="B959" t="s">
        <v>249</v>
      </c>
      <c r="C959" s="2" t="s">
        <v>414</v>
      </c>
      <c r="D959" s="2" t="str">
        <f t="shared" si="58"/>
        <v>Tega Fischer</v>
      </c>
      <c r="E959">
        <v>42</v>
      </c>
      <c r="F959" s="3" t="str">
        <f t="shared" si="59"/>
        <v>40-49</v>
      </c>
      <c r="G959" t="s">
        <v>206</v>
      </c>
      <c r="H959" t="s">
        <v>35</v>
      </c>
      <c r="I959" t="s">
        <v>36</v>
      </c>
      <c r="J959">
        <v>3</v>
      </c>
      <c r="K959" t="s">
        <v>62</v>
      </c>
      <c r="L959">
        <v>16</v>
      </c>
      <c r="M959" t="s">
        <v>108</v>
      </c>
      <c r="N959">
        <v>1000</v>
      </c>
      <c r="O959">
        <v>5</v>
      </c>
      <c r="P959">
        <v>5000</v>
      </c>
      <c r="Q959">
        <v>29.31</v>
      </c>
      <c r="R959" t="s">
        <v>46</v>
      </c>
      <c r="S959" t="s">
        <v>47</v>
      </c>
      <c r="T959">
        <f t="shared" si="60"/>
        <v>0</v>
      </c>
      <c r="U959" t="str">
        <f t="shared" si="61"/>
        <v>13-24 Months</v>
      </c>
    </row>
    <row r="960" spans="1:21">
      <c r="A960" t="s">
        <v>1394</v>
      </c>
      <c r="B960" t="s">
        <v>249</v>
      </c>
      <c r="C960" s="2" t="s">
        <v>414</v>
      </c>
      <c r="D960" s="2" t="str">
        <f t="shared" si="58"/>
        <v>Tega Fischer</v>
      </c>
      <c r="E960">
        <v>42</v>
      </c>
      <c r="F960" s="3" t="str">
        <f t="shared" si="59"/>
        <v>40-49</v>
      </c>
      <c r="G960" t="s">
        <v>206</v>
      </c>
      <c r="H960" t="s">
        <v>43</v>
      </c>
      <c r="I960" t="s">
        <v>36</v>
      </c>
      <c r="J960">
        <v>3</v>
      </c>
      <c r="K960" t="s">
        <v>62</v>
      </c>
      <c r="L960">
        <v>16</v>
      </c>
      <c r="M960" t="s">
        <v>91</v>
      </c>
      <c r="N960">
        <v>14500</v>
      </c>
      <c r="O960">
        <v>13</v>
      </c>
      <c r="P960">
        <v>188500</v>
      </c>
      <c r="Q960">
        <v>38.74</v>
      </c>
      <c r="R960" t="s">
        <v>46</v>
      </c>
      <c r="S960" t="s">
        <v>47</v>
      </c>
      <c r="T960">
        <f t="shared" si="60"/>
        <v>0</v>
      </c>
      <c r="U960" t="str">
        <f t="shared" si="61"/>
        <v>13-24 Months</v>
      </c>
    </row>
    <row r="961" spans="1:21">
      <c r="A961" t="s">
        <v>1395</v>
      </c>
      <c r="B961" t="s">
        <v>249</v>
      </c>
      <c r="C961" s="2" t="s">
        <v>414</v>
      </c>
      <c r="D961" s="2" t="str">
        <f t="shared" si="58"/>
        <v>Tega Fischer</v>
      </c>
      <c r="E961">
        <v>42</v>
      </c>
      <c r="F961" s="3" t="str">
        <f t="shared" si="59"/>
        <v>40-49</v>
      </c>
      <c r="G961" t="s">
        <v>206</v>
      </c>
      <c r="H961" t="s">
        <v>51</v>
      </c>
      <c r="I961" t="s">
        <v>36</v>
      </c>
      <c r="J961">
        <v>3</v>
      </c>
      <c r="K961" t="s">
        <v>62</v>
      </c>
      <c r="L961">
        <v>16</v>
      </c>
      <c r="M961" t="s">
        <v>82</v>
      </c>
      <c r="N961">
        <v>30000</v>
      </c>
      <c r="O961">
        <v>14</v>
      </c>
      <c r="P961">
        <v>420000</v>
      </c>
      <c r="Q961">
        <v>63.93</v>
      </c>
      <c r="R961" t="s">
        <v>46</v>
      </c>
      <c r="S961" t="s">
        <v>47</v>
      </c>
      <c r="T961">
        <f t="shared" si="60"/>
        <v>0</v>
      </c>
      <c r="U961" t="str">
        <f t="shared" si="61"/>
        <v>13-24 Months</v>
      </c>
    </row>
    <row r="962" spans="1:21" hidden="1">
      <c r="A962" t="s">
        <v>1396</v>
      </c>
      <c r="B962" t="s">
        <v>87</v>
      </c>
      <c r="C962" s="2" t="s">
        <v>1070</v>
      </c>
      <c r="D962" s="2" t="str">
        <f t="shared" si="58"/>
        <v>Halima Martin</v>
      </c>
      <c r="E962">
        <v>21</v>
      </c>
      <c r="F962" s="3" t="str">
        <f t="shared" si="59"/>
        <v>20-29</v>
      </c>
      <c r="G962" t="s">
        <v>162</v>
      </c>
      <c r="H962" t="s">
        <v>25</v>
      </c>
      <c r="I962" t="s">
        <v>36</v>
      </c>
      <c r="J962">
        <v>3</v>
      </c>
      <c r="K962" t="s">
        <v>62</v>
      </c>
      <c r="L962">
        <v>51</v>
      </c>
      <c r="M962" t="s">
        <v>28</v>
      </c>
      <c r="N962">
        <v>35000</v>
      </c>
      <c r="O962">
        <v>3</v>
      </c>
      <c r="P962">
        <v>105000</v>
      </c>
      <c r="Q962">
        <v>42.24</v>
      </c>
      <c r="R962" t="s">
        <v>29</v>
      </c>
      <c r="S962" t="s">
        <v>393</v>
      </c>
      <c r="T962">
        <f t="shared" si="60"/>
        <v>105000</v>
      </c>
      <c r="U962" t="str">
        <f t="shared" si="61"/>
        <v>24+ Months</v>
      </c>
    </row>
    <row r="963" spans="1:21" hidden="1">
      <c r="A963" t="s">
        <v>1397</v>
      </c>
      <c r="B963" t="s">
        <v>87</v>
      </c>
      <c r="C963" s="2" t="s">
        <v>1070</v>
      </c>
      <c r="D963" s="2" t="str">
        <f t="shared" ref="D963:D975" si="62">B963&amp;" "&amp;C963</f>
        <v>Halima Martin</v>
      </c>
      <c r="E963">
        <v>21</v>
      </c>
      <c r="F963" s="3" t="str">
        <f t="shared" ref="F963:F975" si="63">FLOOR(E963, 10)&amp;"-"&amp;FLOOR(E963, 10)+9</f>
        <v>20-29</v>
      </c>
      <c r="G963" t="s">
        <v>162</v>
      </c>
      <c r="H963" t="s">
        <v>43</v>
      </c>
      <c r="I963" t="s">
        <v>36</v>
      </c>
      <c r="J963">
        <v>3</v>
      </c>
      <c r="K963" t="s">
        <v>62</v>
      </c>
      <c r="L963">
        <v>51</v>
      </c>
      <c r="M963" t="s">
        <v>71</v>
      </c>
      <c r="N963">
        <v>150000</v>
      </c>
      <c r="O963">
        <v>20</v>
      </c>
      <c r="P963">
        <v>3000000</v>
      </c>
      <c r="Q963">
        <v>158.30000000000001</v>
      </c>
      <c r="R963" t="s">
        <v>29</v>
      </c>
      <c r="S963" t="s">
        <v>393</v>
      </c>
      <c r="T963">
        <f t="shared" si="60"/>
        <v>3000000</v>
      </c>
      <c r="U963" t="str">
        <f t="shared" si="61"/>
        <v>24+ Months</v>
      </c>
    </row>
    <row r="964" spans="1:21">
      <c r="A964" t="s">
        <v>1398</v>
      </c>
      <c r="B964" t="s">
        <v>121</v>
      </c>
      <c r="C964" s="2" t="s">
        <v>147</v>
      </c>
      <c r="D964" s="2" t="str">
        <f t="shared" si="62"/>
        <v>Kunle Brown</v>
      </c>
      <c r="E964">
        <v>37</v>
      </c>
      <c r="F964" s="3" t="str">
        <f t="shared" si="63"/>
        <v>30-39</v>
      </c>
      <c r="G964" t="s">
        <v>260</v>
      </c>
      <c r="H964" t="s">
        <v>43</v>
      </c>
      <c r="I964" t="s">
        <v>36</v>
      </c>
      <c r="J964">
        <v>4</v>
      </c>
      <c r="K964" t="s">
        <v>155</v>
      </c>
      <c r="L964">
        <v>49</v>
      </c>
      <c r="M964" t="s">
        <v>156</v>
      </c>
      <c r="N964">
        <v>25000</v>
      </c>
      <c r="O964">
        <v>16</v>
      </c>
      <c r="P964">
        <v>400000</v>
      </c>
      <c r="Q964">
        <v>105.33</v>
      </c>
      <c r="R964" t="s">
        <v>46</v>
      </c>
      <c r="S964" t="s">
        <v>47</v>
      </c>
      <c r="T964">
        <f t="shared" si="60"/>
        <v>0</v>
      </c>
      <c r="U964" t="str">
        <f t="shared" si="61"/>
        <v>24+ Months</v>
      </c>
    </row>
    <row r="965" spans="1:21" hidden="1">
      <c r="A965" t="s">
        <v>1399</v>
      </c>
      <c r="B965" t="s">
        <v>232</v>
      </c>
      <c r="C965" s="2" t="s">
        <v>1343</v>
      </c>
      <c r="D965" s="2" t="str">
        <f t="shared" si="62"/>
        <v>Grace Matthews</v>
      </c>
      <c r="E965">
        <v>76</v>
      </c>
      <c r="F965" s="3" t="str">
        <f t="shared" si="63"/>
        <v>70-79</v>
      </c>
      <c r="G965" t="s">
        <v>263</v>
      </c>
      <c r="H965" t="s">
        <v>25</v>
      </c>
      <c r="I965" t="s">
        <v>36</v>
      </c>
      <c r="J965">
        <v>2</v>
      </c>
      <c r="K965" t="s">
        <v>27</v>
      </c>
      <c r="L965">
        <v>41</v>
      </c>
      <c r="M965" t="s">
        <v>57</v>
      </c>
      <c r="N965">
        <v>4500</v>
      </c>
      <c r="O965">
        <v>13</v>
      </c>
      <c r="P965">
        <v>58500</v>
      </c>
      <c r="Q965">
        <v>61.55</v>
      </c>
      <c r="R965" t="s">
        <v>29</v>
      </c>
      <c r="S965" t="s">
        <v>362</v>
      </c>
      <c r="T965">
        <f t="shared" si="60"/>
        <v>58500</v>
      </c>
      <c r="U965" t="str">
        <f t="shared" si="61"/>
        <v>24+ Months</v>
      </c>
    </row>
    <row r="966" spans="1:21" hidden="1">
      <c r="A966" t="s">
        <v>1400</v>
      </c>
      <c r="B966" t="s">
        <v>232</v>
      </c>
      <c r="C966" s="2" t="s">
        <v>1343</v>
      </c>
      <c r="D966" s="2" t="str">
        <f t="shared" si="62"/>
        <v>Grace Matthews</v>
      </c>
      <c r="E966">
        <v>76</v>
      </c>
      <c r="F966" s="3" t="str">
        <f t="shared" si="63"/>
        <v>70-79</v>
      </c>
      <c r="G966" t="s">
        <v>263</v>
      </c>
      <c r="H966" t="s">
        <v>35</v>
      </c>
      <c r="I966" t="s">
        <v>36</v>
      </c>
      <c r="J966">
        <v>2</v>
      </c>
      <c r="K966" t="s">
        <v>27</v>
      </c>
      <c r="L966">
        <v>41</v>
      </c>
      <c r="M966" t="s">
        <v>227</v>
      </c>
      <c r="N966">
        <v>600</v>
      </c>
      <c r="O966">
        <v>12</v>
      </c>
      <c r="P966">
        <v>7200</v>
      </c>
      <c r="Q966">
        <v>187.13</v>
      </c>
      <c r="R966" t="s">
        <v>29</v>
      </c>
      <c r="S966" t="s">
        <v>362</v>
      </c>
      <c r="T966">
        <f t="shared" si="60"/>
        <v>7200</v>
      </c>
      <c r="U966" t="str">
        <f t="shared" si="61"/>
        <v>24+ Months</v>
      </c>
    </row>
    <row r="967" spans="1:21">
      <c r="A967" t="s">
        <v>1401</v>
      </c>
      <c r="B967" t="s">
        <v>40</v>
      </c>
      <c r="C967" s="2" t="s">
        <v>33</v>
      </c>
      <c r="D967" s="2" t="str">
        <f t="shared" si="62"/>
        <v>Saidu Baker</v>
      </c>
      <c r="E967">
        <v>26</v>
      </c>
      <c r="F967" s="3" t="str">
        <f t="shared" si="63"/>
        <v>20-29</v>
      </c>
      <c r="G967" t="s">
        <v>194</v>
      </c>
      <c r="H967" t="s">
        <v>51</v>
      </c>
      <c r="I967" t="s">
        <v>26</v>
      </c>
      <c r="J967">
        <v>5</v>
      </c>
      <c r="K967" t="s">
        <v>68</v>
      </c>
      <c r="L967">
        <v>19</v>
      </c>
      <c r="M967" t="s">
        <v>91</v>
      </c>
      <c r="N967">
        <v>14500</v>
      </c>
      <c r="O967">
        <v>14</v>
      </c>
      <c r="P967">
        <v>203000</v>
      </c>
      <c r="Q967">
        <v>90.5</v>
      </c>
      <c r="R967" t="s">
        <v>46</v>
      </c>
      <c r="S967" t="s">
        <v>47</v>
      </c>
      <c r="T967">
        <f t="shared" si="60"/>
        <v>0</v>
      </c>
      <c r="U967" t="str">
        <f t="shared" si="61"/>
        <v>13-24 Months</v>
      </c>
    </row>
    <row r="968" spans="1:21">
      <c r="A968" t="s">
        <v>1402</v>
      </c>
      <c r="B968" t="s">
        <v>40</v>
      </c>
      <c r="C968" s="2" t="s">
        <v>33</v>
      </c>
      <c r="D968" s="2" t="str">
        <f t="shared" si="62"/>
        <v>Saidu Baker</v>
      </c>
      <c r="E968">
        <v>26</v>
      </c>
      <c r="F968" s="3" t="str">
        <f t="shared" si="63"/>
        <v>20-29</v>
      </c>
      <c r="G968" t="s">
        <v>194</v>
      </c>
      <c r="H968" t="s">
        <v>25</v>
      </c>
      <c r="I968" t="s">
        <v>26</v>
      </c>
      <c r="J968">
        <v>5</v>
      </c>
      <c r="K968" t="s">
        <v>68</v>
      </c>
      <c r="L968">
        <v>19</v>
      </c>
      <c r="M968" t="s">
        <v>28</v>
      </c>
      <c r="N968">
        <v>35000</v>
      </c>
      <c r="O968">
        <v>16</v>
      </c>
      <c r="P968">
        <v>560000</v>
      </c>
      <c r="Q968">
        <v>73.819999999999993</v>
      </c>
      <c r="R968" t="s">
        <v>46</v>
      </c>
      <c r="S968" t="s">
        <v>47</v>
      </c>
      <c r="T968">
        <f t="shared" si="60"/>
        <v>0</v>
      </c>
      <c r="U968" t="str">
        <f t="shared" si="61"/>
        <v>13-24 Months</v>
      </c>
    </row>
    <row r="969" spans="1:21">
      <c r="A969" t="s">
        <v>1403</v>
      </c>
      <c r="B969" t="s">
        <v>40</v>
      </c>
      <c r="C969" s="2" t="s">
        <v>33</v>
      </c>
      <c r="D969" s="2" t="str">
        <f t="shared" si="62"/>
        <v>Saidu Baker</v>
      </c>
      <c r="E969">
        <v>26</v>
      </c>
      <c r="F969" s="3" t="str">
        <f t="shared" si="63"/>
        <v>20-29</v>
      </c>
      <c r="G969" t="s">
        <v>194</v>
      </c>
      <c r="H969" t="s">
        <v>43</v>
      </c>
      <c r="I969" t="s">
        <v>26</v>
      </c>
      <c r="J969">
        <v>5</v>
      </c>
      <c r="K969" t="s">
        <v>68</v>
      </c>
      <c r="L969">
        <v>19</v>
      </c>
      <c r="M969" t="s">
        <v>156</v>
      </c>
      <c r="N969">
        <v>25000</v>
      </c>
      <c r="O969">
        <v>1</v>
      </c>
      <c r="P969">
        <v>25000</v>
      </c>
      <c r="Q969">
        <v>54.97</v>
      </c>
      <c r="R969" t="s">
        <v>46</v>
      </c>
      <c r="S969" t="s">
        <v>47</v>
      </c>
      <c r="T969">
        <f t="shared" si="60"/>
        <v>0</v>
      </c>
      <c r="U969" t="str">
        <f t="shared" si="61"/>
        <v>13-24 Months</v>
      </c>
    </row>
    <row r="970" spans="1:21">
      <c r="A970" t="s">
        <v>1404</v>
      </c>
      <c r="B970" t="s">
        <v>149</v>
      </c>
      <c r="C970" s="2" t="s">
        <v>1405</v>
      </c>
      <c r="D970" s="2" t="str">
        <f t="shared" si="62"/>
        <v>Shehu Harris</v>
      </c>
      <c r="E970">
        <v>72</v>
      </c>
      <c r="F970" s="3" t="str">
        <f t="shared" si="63"/>
        <v>70-79</v>
      </c>
      <c r="G970" t="s">
        <v>154</v>
      </c>
      <c r="H970" t="s">
        <v>51</v>
      </c>
      <c r="I970" t="s">
        <v>36</v>
      </c>
      <c r="J970">
        <v>3</v>
      </c>
      <c r="K970" t="s">
        <v>62</v>
      </c>
      <c r="L970">
        <v>42</v>
      </c>
      <c r="M970" t="s">
        <v>45</v>
      </c>
      <c r="N970">
        <v>20000</v>
      </c>
      <c r="O970">
        <v>3</v>
      </c>
      <c r="P970">
        <v>60000</v>
      </c>
      <c r="Q970">
        <v>20.13</v>
      </c>
      <c r="R970" t="s">
        <v>46</v>
      </c>
      <c r="S970" t="s">
        <v>47</v>
      </c>
      <c r="T970">
        <f t="shared" si="60"/>
        <v>0</v>
      </c>
      <c r="U970" t="str">
        <f t="shared" si="61"/>
        <v>24+ Months</v>
      </c>
    </row>
    <row r="971" spans="1:21">
      <c r="A971" t="s">
        <v>1406</v>
      </c>
      <c r="B971" t="s">
        <v>149</v>
      </c>
      <c r="C971" s="2" t="s">
        <v>1405</v>
      </c>
      <c r="D971" s="2" t="str">
        <f t="shared" si="62"/>
        <v>Shehu Harris</v>
      </c>
      <c r="E971">
        <v>72</v>
      </c>
      <c r="F971" s="3" t="str">
        <f t="shared" si="63"/>
        <v>70-79</v>
      </c>
      <c r="G971" t="s">
        <v>154</v>
      </c>
      <c r="H971" t="s">
        <v>25</v>
      </c>
      <c r="I971" t="s">
        <v>36</v>
      </c>
      <c r="J971">
        <v>3</v>
      </c>
      <c r="K971" t="s">
        <v>62</v>
      </c>
      <c r="L971">
        <v>42</v>
      </c>
      <c r="M971" t="s">
        <v>63</v>
      </c>
      <c r="N971">
        <v>9000</v>
      </c>
      <c r="O971">
        <v>7</v>
      </c>
      <c r="P971">
        <v>63000</v>
      </c>
      <c r="Q971">
        <v>8.14</v>
      </c>
      <c r="R971" t="s">
        <v>46</v>
      </c>
      <c r="S971" t="s">
        <v>47</v>
      </c>
      <c r="T971">
        <f t="shared" si="60"/>
        <v>0</v>
      </c>
      <c r="U971" t="str">
        <f t="shared" si="61"/>
        <v>24+ Months</v>
      </c>
    </row>
    <row r="972" spans="1:21">
      <c r="A972" t="s">
        <v>1407</v>
      </c>
      <c r="B972" t="s">
        <v>249</v>
      </c>
      <c r="C972" s="2" t="s">
        <v>516</v>
      </c>
      <c r="D972" s="2" t="str">
        <f t="shared" si="62"/>
        <v>Tega Hood</v>
      </c>
      <c r="E972">
        <v>41</v>
      </c>
      <c r="F972" s="3" t="str">
        <f t="shared" si="63"/>
        <v>40-49</v>
      </c>
      <c r="G972" t="s">
        <v>216</v>
      </c>
      <c r="H972" t="s">
        <v>43</v>
      </c>
      <c r="I972" t="s">
        <v>36</v>
      </c>
      <c r="J972">
        <v>2</v>
      </c>
      <c r="K972" t="s">
        <v>27</v>
      </c>
      <c r="L972">
        <v>20</v>
      </c>
      <c r="M972" t="s">
        <v>52</v>
      </c>
      <c r="N972">
        <v>9000</v>
      </c>
      <c r="O972">
        <v>10</v>
      </c>
      <c r="P972">
        <v>90000</v>
      </c>
      <c r="Q972">
        <v>154.13</v>
      </c>
      <c r="R972" t="s">
        <v>46</v>
      </c>
      <c r="S972" t="s">
        <v>47</v>
      </c>
      <c r="T972">
        <f t="shared" si="60"/>
        <v>0</v>
      </c>
      <c r="U972" t="str">
        <f t="shared" si="61"/>
        <v>13-24 Months</v>
      </c>
    </row>
    <row r="973" spans="1:21" hidden="1">
      <c r="A973" t="s">
        <v>1408</v>
      </c>
      <c r="B973" t="s">
        <v>146</v>
      </c>
      <c r="C973" s="2" t="s">
        <v>1409</v>
      </c>
      <c r="D973" s="2" t="str">
        <f t="shared" si="62"/>
        <v>Oghene Hamilton</v>
      </c>
      <c r="E973">
        <v>67</v>
      </c>
      <c r="F973" s="3" t="str">
        <f t="shared" si="63"/>
        <v>60-69</v>
      </c>
      <c r="G973" t="s">
        <v>106</v>
      </c>
      <c r="H973" t="s">
        <v>25</v>
      </c>
      <c r="I973" t="s">
        <v>26</v>
      </c>
      <c r="J973">
        <v>4</v>
      </c>
      <c r="K973" t="s">
        <v>155</v>
      </c>
      <c r="L973">
        <v>31</v>
      </c>
      <c r="M973" t="s">
        <v>28</v>
      </c>
      <c r="N973">
        <v>35000</v>
      </c>
      <c r="O973">
        <v>15</v>
      </c>
      <c r="P973">
        <v>525000</v>
      </c>
      <c r="Q973">
        <v>144.63999999999999</v>
      </c>
      <c r="R973" t="s">
        <v>29</v>
      </c>
      <c r="S973" t="s">
        <v>393</v>
      </c>
      <c r="T973">
        <f t="shared" si="60"/>
        <v>525000</v>
      </c>
      <c r="U973" t="str">
        <f t="shared" si="61"/>
        <v>24+ Months</v>
      </c>
    </row>
    <row r="974" spans="1:21" hidden="1">
      <c r="A974" t="s">
        <v>1410</v>
      </c>
      <c r="B974" t="s">
        <v>146</v>
      </c>
      <c r="C974" s="2" t="s">
        <v>1409</v>
      </c>
      <c r="D974" s="2" t="str">
        <f t="shared" si="62"/>
        <v>Oghene Hamilton</v>
      </c>
      <c r="E974">
        <v>67</v>
      </c>
      <c r="F974" s="3" t="str">
        <f t="shared" si="63"/>
        <v>60-69</v>
      </c>
      <c r="G974" t="s">
        <v>106</v>
      </c>
      <c r="H974" t="s">
        <v>35</v>
      </c>
      <c r="I974" t="s">
        <v>26</v>
      </c>
      <c r="J974">
        <v>4</v>
      </c>
      <c r="K974" t="s">
        <v>155</v>
      </c>
      <c r="L974">
        <v>31</v>
      </c>
      <c r="M974" t="s">
        <v>69</v>
      </c>
      <c r="N974">
        <v>3500</v>
      </c>
      <c r="O974">
        <v>11</v>
      </c>
      <c r="P974">
        <v>38500</v>
      </c>
      <c r="Q974">
        <v>158.49</v>
      </c>
      <c r="R974" t="s">
        <v>29</v>
      </c>
      <c r="S974" t="s">
        <v>393</v>
      </c>
      <c r="T974">
        <f t="shared" si="60"/>
        <v>38500</v>
      </c>
      <c r="U974" t="str">
        <f t="shared" si="61"/>
        <v>24+ Months</v>
      </c>
    </row>
    <row r="975" spans="1:21" hidden="1">
      <c r="A975" t="s">
        <v>1411</v>
      </c>
      <c r="B975" t="s">
        <v>146</v>
      </c>
      <c r="C975" s="2" t="s">
        <v>1409</v>
      </c>
      <c r="D975" s="2" t="str">
        <f t="shared" si="62"/>
        <v>Oghene Hamilton</v>
      </c>
      <c r="E975">
        <v>67</v>
      </c>
      <c r="F975" s="3" t="str">
        <f t="shared" si="63"/>
        <v>60-69</v>
      </c>
      <c r="G975" t="s">
        <v>106</v>
      </c>
      <c r="H975" t="s">
        <v>51</v>
      </c>
      <c r="I975" t="s">
        <v>26</v>
      </c>
      <c r="J975">
        <v>4</v>
      </c>
      <c r="K975" t="s">
        <v>155</v>
      </c>
      <c r="L975">
        <v>31</v>
      </c>
      <c r="M975" t="s">
        <v>45</v>
      </c>
      <c r="N975">
        <v>20000</v>
      </c>
      <c r="O975">
        <v>14</v>
      </c>
      <c r="P975">
        <v>280000</v>
      </c>
      <c r="Q975">
        <v>86.04</v>
      </c>
      <c r="R975" t="s">
        <v>29</v>
      </c>
      <c r="S975" t="s">
        <v>393</v>
      </c>
      <c r="T975">
        <f t="shared" si="60"/>
        <v>280000</v>
      </c>
      <c r="U975" t="str">
        <f t="shared" si="61"/>
        <v>24+ Months</v>
      </c>
    </row>
    <row r="976" spans="1:21" hidden="1">
      <c r="F976" s="3"/>
    </row>
  </sheetData>
  <autoFilter ref="S1:S976">
    <filterColumn colId="0">
      <filters>
        <filter val="Unknown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15-da0032wm</dc:creator>
  <cp:lastModifiedBy>HP 15-da0032wm</cp:lastModifiedBy>
  <dcterms:created xsi:type="dcterms:W3CDTF">2026-03-14T10:20:15Z</dcterms:created>
  <dcterms:modified xsi:type="dcterms:W3CDTF">2026-03-17T12:45:49Z</dcterms:modified>
</cp:coreProperties>
</file>